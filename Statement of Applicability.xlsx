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وثيقة" sheetId="1" state="visible" r:id="rId1"/>
    <sheet xmlns:r="http://schemas.openxmlformats.org/officeDocument/2006/relationships" name="بيان القابلية" sheetId="2" state="visible" r:id="rId2"/>
    <sheet xmlns:r="http://schemas.openxmlformats.org/officeDocument/2006/relationships" name="الملخص" sheetId="3" state="visible" r:id="rId3"/>
    <sheet xmlns:r="http://schemas.openxmlformats.org/officeDocument/2006/relationships" name="الاعتماد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b val="1"/>
      <color rgb="00FFFFFF"/>
      <sz val="10"/>
    </font>
    <font>
      <name val="Arial"/>
      <color rgb="00404040"/>
      <sz val="9"/>
    </font>
  </fonts>
  <fills count="9">
    <fill>
      <patternFill/>
    </fill>
    <fill>
      <patternFill patternType="gray125"/>
    </fill>
    <fill>
      <patternFill patternType="solid">
        <fgColor rgb="005B4B8A"/>
      </patternFill>
    </fill>
    <fill>
      <patternFill patternType="solid">
        <fgColor rgb="00EEEAF5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0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right" vertical="top" wrapText="1"/>
    </xf>
    <xf numFmtId="9" fontId="4" fillId="4" borderId="1" applyAlignment="1" pivotButton="0" quotePrefix="0" xfId="0">
      <alignment horizontal="right" vertical="top" wrapText="1"/>
    </xf>
    <xf numFmtId="9" fontId="4" fillId="3" borderId="1" applyAlignment="1" pivotButton="0" quotePrefix="0" xfId="0">
      <alignment horizontal="right" vertical="top" wrapText="1"/>
    </xf>
    <xf numFmtId="0" fontId="4" fillId="8" borderId="1" applyAlignment="1" pivotButton="0" quotePrefix="0" xfId="0">
      <alignment horizontal="right" vertical="top" wrapText="1"/>
    </xf>
    <xf numFmtId="9" fontId="4" fillId="8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حالة تطبيق الضوابط حسب المجال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'الملخص'!D4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'الملخص'!$A$5:$A$8</f>
            </numRef>
          </cat>
          <val>
            <numRef>
              <f>'الملخص'!$D$5:$D$8</f>
            </numRef>
          </val>
        </ser>
        <ser>
          <idx val="1"/>
          <order val="1"/>
          <tx>
            <strRef>
              <f>'الملخص'!E4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'الملخص'!$A$5:$A$8</f>
            </numRef>
          </cat>
          <val>
            <numRef>
              <f>'الملخص'!$E$5:$E$8</f>
            </numRef>
          </val>
        </ser>
        <ser>
          <idx val="2"/>
          <order val="2"/>
          <tx>
            <strRef>
              <f>'الملخص'!F4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'الملخص'!$A$5:$A$8</f>
            </numRef>
          </cat>
          <val>
            <numRef>
              <f>'الملخص'!$F$5:$F$8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الضوابط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المجال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AControls" displayName="SoAControls" ref="A4:H97" headerRowCount="1">
  <autoFilter ref="A4:H97"/>
  <tableColumns count="8">
    <tableColumn id="1" name="المرجع"/>
    <tableColumn id="2" name="الضابط باللغة العربية"/>
    <tableColumn id="3" name="قابل للتطبيق؟"/>
    <tableColumn id="4" name="حالة التطبيق"/>
    <tableColumn id="5" name="مبرر الإدراج"/>
    <tableColumn id="6" name="حالة/تعليق التنفيذ"/>
    <tableColumn id="7" name="المخاطر أو الوثائق المرتبطة"/>
    <tableColumn id="8" name="مالك الضابط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SoASummary" displayName="SoASummary" ref="A4:G9" headerRowCount="1">
  <autoFilter ref="A4:G9"/>
  <tableColumns count="7">
    <tableColumn id="1" name="المجال"/>
    <tableColumn id="2" name="إجمالي الضوابط"/>
    <tableColumn id="3" name="القابلة للتطبيق"/>
    <tableColumn id="4" name="مطبقة"/>
    <tableColumn id="5" name="مطبقة جزئياً"/>
    <tableColumn id="6" name="غير مكتملة"/>
    <tableColumn id="7" name="نسبة التطبيق الكامل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DocumentDependencies" displayName="DocumentDependencies" ref="A4:D10" headerRowCount="1">
  <autoFilter ref="A4:D10"/>
  <tableColumns count="4">
    <tableColumn id="1" name="الوثيقة"/>
    <tableColumn id="2" name="وظيفتها بالنسبة لهذا الملف"/>
    <tableColumn id="3" name="الاعتماد المتبادل"/>
    <tableColumn id="4" name="حالة الربط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28" customHeight="1">
      <c r="A1" s="1" t="inlineStr">
        <is>
          <t>بيان قابلية التطبيق</t>
        </is>
      </c>
    </row>
    <row r="2" ht="32" customHeight="1">
      <c r="A2" s="2" t="inlineStr">
        <is>
          <t>بنك الآفاق الرقمية | ISO/IEC 27001:2022 | الملف الرابع من متطلبات المشروع</t>
        </is>
      </c>
    </row>
    <row r="4" ht="38" customHeight="1">
      <c r="A4" s="3" t="inlineStr">
        <is>
          <t>البيان</t>
        </is>
      </c>
      <c r="B4" s="3" t="inlineStr">
        <is>
          <t>القيمة</t>
        </is>
      </c>
    </row>
    <row r="5">
      <c r="A5" s="4" t="inlineStr">
        <is>
          <t>اسم الوثيقة</t>
        </is>
      </c>
      <c r="B5" s="4" t="inlineStr">
        <is>
          <t>بيان قابلية التطبيق لنظام إدارة أمن المعلومات</t>
        </is>
      </c>
      <c r="C5" s="5" t="n"/>
      <c r="D5" s="5" t="n"/>
      <c r="E5" s="5" t="n"/>
      <c r="F5" s="6" t="n"/>
    </row>
    <row r="6">
      <c r="A6" s="7" t="inlineStr">
        <is>
          <t>المرجع</t>
        </is>
      </c>
      <c r="B6" s="7" t="inlineStr">
        <is>
          <t>ISMS-FORM-06-2</t>
        </is>
      </c>
      <c r="C6" s="5" t="n"/>
      <c r="D6" s="5" t="n"/>
      <c r="E6" s="5" t="n"/>
      <c r="F6" s="6" t="n"/>
    </row>
    <row r="7">
      <c r="A7" s="4" t="inlineStr">
        <is>
          <t>الإصدار</t>
        </is>
      </c>
      <c r="B7" s="4" t="inlineStr">
        <is>
          <t>1.0</t>
        </is>
      </c>
      <c r="C7" s="5" t="n"/>
      <c r="D7" s="5" t="n"/>
      <c r="E7" s="5" t="n"/>
      <c r="F7" s="6" t="n"/>
    </row>
    <row r="8">
      <c r="A8" s="7" t="inlineStr">
        <is>
          <t>التاريخ</t>
        </is>
      </c>
      <c r="B8" s="7" t="inlineStr">
        <is>
          <t>08 سبتمبر 2026</t>
        </is>
      </c>
      <c r="C8" s="5" t="n"/>
      <c r="D8" s="5" t="n"/>
      <c r="E8" s="5" t="n"/>
      <c r="F8" s="6" t="n"/>
    </row>
    <row r="9">
      <c r="A9" s="4" t="inlineStr">
        <is>
          <t>التصنيف</t>
        </is>
      </c>
      <c r="B9" s="4" t="inlineStr">
        <is>
          <t>سري — للاستخدام الداخلي</t>
        </is>
      </c>
      <c r="C9" s="5" t="n"/>
      <c r="D9" s="5" t="n"/>
      <c r="E9" s="5" t="n"/>
      <c r="F9" s="6" t="n"/>
    </row>
    <row r="10">
      <c r="A10" s="7" t="inlineStr">
        <is>
          <t>النطاق</t>
        </is>
      </c>
      <c r="B10" s="7" t="inlineStr">
        <is>
          <t>الخدمات المصرفية للأفراد والشركات والرقمية والدولية، والمواقع والأنظمة والأصول والموردون المحددون في وثيقة النطاق.</t>
        </is>
      </c>
      <c r="C10" s="5" t="n"/>
      <c r="D10" s="5" t="n"/>
      <c r="E10" s="5" t="n"/>
      <c r="F10" s="6" t="n"/>
    </row>
    <row r="11">
      <c r="A11" s="4" t="inlineStr">
        <is>
          <t>منهج الاختيار</t>
        </is>
      </c>
      <c r="B11" s="4" t="inlineStr">
        <is>
          <t>أدرجت جميع ضوابط الملحق A ذات الصلة ببيئة البنك ومخاطره، وجرى تحديد حالة التطبيق والسبب والأدلة المطلوبة لكل ضابط.</t>
        </is>
      </c>
      <c r="C11" s="5" t="n"/>
      <c r="D11" s="5" t="n"/>
      <c r="E11" s="5" t="n"/>
      <c r="F11" s="6" t="n"/>
    </row>
    <row r="12">
      <c r="A12" s="7" t="inlineStr">
        <is>
          <t>الوثائق المعتمدة</t>
        </is>
      </c>
      <c r="B12" s="7" t="inlineStr">
        <is>
          <t>وثيقة نطاق ISMS، سياسة أمن المعلومات، تقييم ومعالجة المخاطر، وسجل الأصول.</t>
        </is>
      </c>
      <c r="C12" s="5" t="n"/>
      <c r="D12" s="5" t="n"/>
      <c r="E12" s="5" t="n"/>
      <c r="F12" s="6" t="n"/>
    </row>
    <row r="13">
      <c r="A13" s="4" t="inlineStr">
        <is>
          <t>المعدون</t>
        </is>
      </c>
      <c r="B13" s="4" t="inlineStr">
        <is>
          <t>فريق العمل: عمار سعيد — عبد الرحمن السلفي — علي الأشول — غسان عباد</t>
        </is>
      </c>
      <c r="C13" s="5" t="n"/>
      <c r="D13" s="5" t="n"/>
      <c r="E13" s="5" t="n"/>
      <c r="F13" s="6" t="n"/>
    </row>
    <row r="14">
      <c r="A14" s="7" t="inlineStr">
        <is>
          <t>الاعتماد</t>
        </is>
      </c>
      <c r="B14" s="7" t="inlineStr">
        <is>
          <t>تم التوقيع — فريق العمل</t>
        </is>
      </c>
      <c r="C14" s="5" t="n"/>
      <c r="D14" s="5" t="n"/>
      <c r="E14" s="5" t="n"/>
      <c r="F14" s="6" t="n"/>
    </row>
  </sheetData>
  <mergeCells count="12">
    <mergeCell ref="B12:F12"/>
    <mergeCell ref="B7:F7"/>
    <mergeCell ref="B6:F6"/>
    <mergeCell ref="B10:F10"/>
    <mergeCell ref="A2:H2"/>
    <mergeCell ref="B11:F11"/>
    <mergeCell ref="B5:F5"/>
    <mergeCell ref="B14:F14"/>
    <mergeCell ref="A1:H1"/>
    <mergeCell ref="B8:F8"/>
    <mergeCell ref="B9:F9"/>
    <mergeCell ref="B13:F13"/>
  </mergeCells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  <col width="36" customWidth="1" min="5" max="5"/>
    <col width="34" customWidth="1" min="6" max="6"/>
    <col width="34" customWidth="1" min="7" max="7"/>
    <col width="28" customWidth="1" min="8" max="8"/>
  </cols>
  <sheetData>
    <row r="1" ht="28" customHeight="1">
      <c r="A1" s="1" t="inlineStr">
        <is>
          <t>بيان قابلية تطبيق ضوابط الملحق A</t>
        </is>
      </c>
    </row>
    <row r="2" ht="32" customHeight="1">
      <c r="A2" s="2" t="inlineStr">
        <is>
          <t>كل ضابط أدناه قابل للتطبيق على بيئة البنك. حالة «مطبق جزئياً» أو «غير مكتمل» تمثل فجوة معالجة وليست استبعاداً للضابط.</t>
        </is>
      </c>
    </row>
    <row r="4" ht="38" customHeight="1">
      <c r="A4" s="3" t="inlineStr">
        <is>
          <t>المرجع</t>
        </is>
      </c>
      <c r="B4" s="3" t="inlineStr">
        <is>
          <t>الضابط باللغة العربية</t>
        </is>
      </c>
      <c r="C4" s="3" t="inlineStr">
        <is>
          <t>قابل للتطبيق؟</t>
        </is>
      </c>
      <c r="D4" s="3" t="inlineStr">
        <is>
          <t>حالة التطبيق</t>
        </is>
      </c>
      <c r="E4" s="3" t="inlineStr">
        <is>
          <t>مبرر الإدراج</t>
        </is>
      </c>
      <c r="F4" s="3" t="inlineStr">
        <is>
          <t>حالة/تعليق التنفيذ</t>
        </is>
      </c>
      <c r="G4" s="3" t="inlineStr">
        <is>
          <t>المخاطر أو الوثائق المرتبطة</t>
        </is>
      </c>
      <c r="H4" s="3" t="inlineStr">
        <is>
          <t>مالك الضابط</t>
        </is>
      </c>
    </row>
    <row r="5">
      <c r="A5" s="4" t="inlineStr">
        <is>
          <t>A.5.1</t>
        </is>
      </c>
      <c r="B5" s="4" t="inlineStr">
        <is>
          <t>سياسات أمن المعلومات</t>
        </is>
      </c>
      <c r="C5" s="8" t="inlineStr">
        <is>
          <t>نعم</t>
        </is>
      </c>
      <c r="D5" s="9" t="inlineStr">
        <is>
          <t>مطبق</t>
        </is>
      </c>
      <c r="E5" s="4" t="inlineStr">
        <is>
          <t>السياسة المعتمدة تحدد التزام الإدارة العليا ومبادئ حماية معلومات البنك.</t>
        </is>
      </c>
      <c r="F5" s="4" t="inlineStr">
        <is>
          <t>تسري على جميع العاملين والأنظمة والموردين ضمن النطاق.</t>
        </is>
      </c>
      <c r="G5" s="4" t="inlineStr">
        <is>
          <t>تقييم المخاطر ومعالجتها، بيان النطاق، سياسة أمن المعلومات</t>
        </is>
      </c>
      <c r="H5" s="4" t="inlineStr">
        <is>
          <t>مدير أمن المعلومات بالتنسيق مع مالك العملية</t>
        </is>
      </c>
    </row>
    <row r="6">
      <c r="A6" s="7" t="inlineStr">
        <is>
          <t>A.5.2</t>
        </is>
      </c>
      <c r="B6" s="7" t="inlineStr">
        <is>
          <t>أدوار ومسؤوليات أمن المعلومات</t>
        </is>
      </c>
      <c r="C6" s="10" t="inlineStr">
        <is>
          <t>نعم</t>
        </is>
      </c>
      <c r="D6" s="11" t="inlineStr">
        <is>
          <t>مطبق جزئياً</t>
        </is>
      </c>
      <c r="E6" s="7" t="inlineStr">
        <is>
          <t>تم تحديد مدير أمن المعلومات والفرق الأساسية، ويستكمل مصفوفة المسؤوليات التفصيلية.</t>
        </is>
      </c>
      <c r="F6" s="7" t="inlineStr">
        <is>
          <t>يتطلب اعتماد مصفوفة RACI وربطها بالإجراءات.</t>
        </is>
      </c>
      <c r="G6" s="7" t="inlineStr">
        <is>
          <t>تقييم المخاطر ومعالجتها، بيان النطاق، سياسة أمن المعلومات</t>
        </is>
      </c>
      <c r="H6" s="7" t="inlineStr">
        <is>
          <t>مدير أمن المعلومات بالتنسيق مع مالك العملية</t>
        </is>
      </c>
    </row>
    <row r="7">
      <c r="A7" s="4" t="inlineStr">
        <is>
          <t>A.5.3</t>
        </is>
      </c>
      <c r="B7" s="4" t="inlineStr">
        <is>
          <t>فصل الواجبات</t>
        </is>
      </c>
      <c r="C7" s="8" t="inlineStr">
        <is>
          <t>نعم</t>
        </is>
      </c>
      <c r="D7" s="11" t="inlineStr">
        <is>
          <t>مطبق جزئياً</t>
        </is>
      </c>
      <c r="E7" s="4" t="inlineStr">
        <is>
          <t>حساسية التحويلات وإدارة الأنظمة تتطلب فصل الطلب والاعتماد والتنفيذ والمراجعة.</t>
        </is>
      </c>
      <c r="F7" s="4" t="inlineStr">
        <is>
          <t>توجد فجوات في بعض العمليات وتتم معالجتها ضمن المخاطر R-006 وR-011.</t>
        </is>
      </c>
      <c r="G7" s="4" t="inlineStr">
        <is>
          <t>تقييم المخاطر ومعالجتها، بيان النطاق، سياسة أمن المعلومات</t>
        </is>
      </c>
      <c r="H7" s="4" t="inlineStr">
        <is>
          <t>مدير أمن المعلومات بالتنسيق مع مالك العملية</t>
        </is>
      </c>
    </row>
    <row r="8">
      <c r="A8" s="7" t="inlineStr">
        <is>
          <t>A.5.4</t>
        </is>
      </c>
      <c r="B8" s="7" t="inlineStr">
        <is>
          <t>مسؤوليات الإدارة</t>
        </is>
      </c>
      <c r="C8" s="10" t="inlineStr">
        <is>
          <t>نعم</t>
        </is>
      </c>
      <c r="D8" s="9" t="inlineStr">
        <is>
          <t>مطبق</t>
        </is>
      </c>
      <c r="E8" s="7" t="inlineStr">
        <is>
          <t>تلتزم الإدارة بالموارد والاعتماد والمراجعة وتطبيق السياسة.</t>
        </is>
      </c>
      <c r="F8" s="7" t="inlineStr">
        <is>
          <t>الاعتماد النهائي من الرئيس التنفيذي ومراجعة الإدارة.</t>
        </is>
      </c>
      <c r="G8" s="7" t="inlineStr">
        <is>
          <t>تقييم المخاطر ومعالجتها، بيان النطاق، سياسة أمن المعلومات</t>
        </is>
      </c>
      <c r="H8" s="7" t="inlineStr">
        <is>
          <t>مدير أمن المعلومات بالتنسيق مع مالك العملية</t>
        </is>
      </c>
    </row>
    <row r="9">
      <c r="A9" s="4" t="inlineStr">
        <is>
          <t>A.5.5</t>
        </is>
      </c>
      <c r="B9" s="4" t="inlineStr">
        <is>
          <t>الاتصال بالجهات المختصة</t>
        </is>
      </c>
      <c r="C9" s="8" t="inlineStr">
        <is>
          <t>نعم</t>
        </is>
      </c>
      <c r="D9" s="11" t="inlineStr">
        <is>
          <t>مطبق جزئياً</t>
        </is>
      </c>
      <c r="E9" s="4" t="inlineStr">
        <is>
          <t>للبنك علاقات تنظيمية مع ساما وسدايا والهيئة الوطنية للأمن السيبراني.</t>
        </is>
      </c>
      <c r="F9" s="4" t="inlineStr">
        <is>
          <t>يجب استكمال سجل جهات الاتصال ومسارات التبليغ.</t>
        </is>
      </c>
      <c r="G9" s="4" t="inlineStr">
        <is>
          <t>تقييم المخاطر ومعالجتها، بيان النطاق، سياسة أمن المعلومات</t>
        </is>
      </c>
      <c r="H9" s="4" t="inlineStr">
        <is>
          <t>مدير أمن المعلومات بالتنسيق مع مالك العملية</t>
        </is>
      </c>
    </row>
    <row r="10">
      <c r="A10" s="7" t="inlineStr">
        <is>
          <t>A.5.6</t>
        </is>
      </c>
      <c r="B10" s="7" t="inlineStr">
        <is>
          <t>الاتصال بمجموعات الاهتمام</t>
        </is>
      </c>
      <c r="C10" s="10" t="inlineStr">
        <is>
          <t>نعم</t>
        </is>
      </c>
      <c r="D10" s="11" t="inlineStr">
        <is>
          <t>مطبق جزئياً</t>
        </is>
      </c>
      <c r="E10" s="7" t="inlineStr">
        <is>
          <t>يحتاج البنك إلى متابعة تنبيهات الأمن السيبراني والمجموعات المهنية.</t>
        </is>
      </c>
      <c r="F10" s="7" t="inlineStr">
        <is>
          <t>يستكمل سجل مصادر معلومات التهديد والاتصالات.</t>
        </is>
      </c>
      <c r="G10" s="7" t="inlineStr">
        <is>
          <t>تقييم المخاطر ومعالجتها، بيان النطاق، سياسة أمن المعلومات</t>
        </is>
      </c>
      <c r="H10" s="7" t="inlineStr">
        <is>
          <t>مدير أمن المعلومات بالتنسيق مع مالك العملية</t>
        </is>
      </c>
    </row>
    <row r="11">
      <c r="A11" s="4" t="inlineStr">
        <is>
          <t>A.5.7</t>
        </is>
      </c>
      <c r="B11" s="4" t="inlineStr">
        <is>
          <t>معلومات التهديدات</t>
        </is>
      </c>
      <c r="C11" s="8" t="inlineStr">
        <is>
          <t>نعم</t>
        </is>
      </c>
      <c r="D11" s="12" t="inlineStr">
        <is>
          <t>غير مكتمل</t>
        </is>
      </c>
      <c r="E11" s="4" t="inlineStr">
        <is>
          <t>التهديدات المصرفية متصاعدة وجمع وتحليل المعلومات غير منهجي حالياً.</t>
        </is>
      </c>
      <c r="F11" s="4" t="inlineStr">
        <is>
          <t>يُعالج عبر برنامج استخبارات تهديدات ومؤشرات قابلة للقياس.</t>
        </is>
      </c>
      <c r="G11" s="4" t="inlineStr">
        <is>
          <t>تقييم المخاطر ومعالجتها، بيان النطاق، سياسة أمن المعلومات</t>
        </is>
      </c>
      <c r="H11" s="4" t="inlineStr">
        <is>
          <t>مدير أمن المعلومات بالتنسيق مع مالك العملية</t>
        </is>
      </c>
    </row>
    <row r="12">
      <c r="A12" s="7" t="inlineStr">
        <is>
          <t>A.5.8</t>
        </is>
      </c>
      <c r="B12" s="7" t="inlineStr">
        <is>
          <t>أمن المعلومات في إدارة المشاريع</t>
        </is>
      </c>
      <c r="C12" s="10" t="inlineStr">
        <is>
          <t>نعم</t>
        </is>
      </c>
      <c r="D12" s="11" t="inlineStr">
        <is>
          <t>مطبق جزئياً</t>
        </is>
      </c>
      <c r="E12" s="7" t="inlineStr">
        <is>
          <t>المشاريع الرقمية وتطوير آفاق بلس تحتاج متطلبات أمنية منذ التصميم.</t>
        </is>
      </c>
      <c r="F12" s="7" t="inlineStr">
        <is>
          <t>تضاف بوابة مراجعة أمنية قبل اعتماد المشاريع.</t>
        </is>
      </c>
      <c r="G12" s="7" t="inlineStr">
        <is>
          <t>تقييم المخاطر ومعالجتها، بيان النطاق، سياسة أمن المعلومات</t>
        </is>
      </c>
      <c r="H12" s="7" t="inlineStr">
        <is>
          <t>مدير أمن المعلومات بالتنسيق مع مالك العملية</t>
        </is>
      </c>
    </row>
    <row r="13">
      <c r="A13" s="4" t="inlineStr">
        <is>
          <t>A.5.9</t>
        </is>
      </c>
      <c r="B13" s="4" t="inlineStr">
        <is>
          <t>جرد المعلومات والأصول المرتبطة</t>
        </is>
      </c>
      <c r="C13" s="8" t="inlineStr">
        <is>
          <t>نعم</t>
        </is>
      </c>
      <c r="D13" s="11" t="inlineStr">
        <is>
          <t>مطبق جزئياً</t>
        </is>
      </c>
      <c r="E13" s="4" t="inlineStr">
        <is>
          <t>تم حصر أصول رئيسية في السيناريو ويجب استكمال الملكية والتصنيف والتقييم.</t>
        </is>
      </c>
      <c r="F13" s="4" t="inlineStr">
        <is>
          <t>يرتبط بسجل الأصول وبملف تقييم المخاطر.</t>
        </is>
      </c>
      <c r="G13" s="4" t="inlineStr">
        <is>
          <t>تقييم المخاطر ومعالجتها، بيان النطاق، سياسة أمن المعلومات</t>
        </is>
      </c>
      <c r="H13" s="4" t="inlineStr">
        <is>
          <t>مدير أمن المعلومات بالتنسيق مع مالك العملية</t>
        </is>
      </c>
    </row>
    <row r="14">
      <c r="A14" s="7" t="inlineStr">
        <is>
          <t>A.5.10</t>
        </is>
      </c>
      <c r="B14" s="7" t="inlineStr">
        <is>
          <t>الاستخدام المقبول للأصول</t>
        </is>
      </c>
      <c r="C14" s="10" t="inlineStr">
        <is>
          <t>نعم</t>
        </is>
      </c>
      <c r="D14" s="12" t="inlineStr">
        <is>
          <t>غير مكتمل</t>
        </is>
      </c>
      <c r="E14" s="7" t="inlineStr">
        <is>
          <t>توجد حاجة لضبط استخدام أجهزة البنك وبيانات العملاء والبريد والخدمات السحابية.</t>
        </is>
      </c>
      <c r="F14" s="7" t="inlineStr">
        <is>
          <t>تصدر سياسة استخدام مقبول ويوقع عليها المستخدمون.</t>
        </is>
      </c>
      <c r="G14" s="7" t="inlineStr">
        <is>
          <t>تقييم المخاطر ومعالجتها، بيان النطاق، سياسة أمن المعلومات</t>
        </is>
      </c>
      <c r="H14" s="7" t="inlineStr">
        <is>
          <t>مدير أمن المعلومات بالتنسيق مع مالك العملية</t>
        </is>
      </c>
    </row>
    <row r="15">
      <c r="A15" s="4" t="inlineStr">
        <is>
          <t>A.5.11</t>
        </is>
      </c>
      <c r="B15" s="4" t="inlineStr">
        <is>
          <t>إعادة الأصول</t>
        </is>
      </c>
      <c r="C15" s="8" t="inlineStr">
        <is>
          <t>نعم</t>
        </is>
      </c>
      <c r="D15" s="11" t="inlineStr">
        <is>
          <t>مطبق جزئياً</t>
        </is>
      </c>
      <c r="E15" s="4" t="inlineStr">
        <is>
          <t>يشمل أجهزة الموظفين ووسائط التخزين والحسابات عند انتهاء العلاقة.</t>
        </is>
      </c>
      <c r="F15" s="4" t="inlineStr">
        <is>
          <t>يرتبط بإجراءات الموارد البشرية وإنهاء الوصول.</t>
        </is>
      </c>
      <c r="G15" s="4" t="inlineStr">
        <is>
          <t>تقييم المخاطر ومعالجتها، بيان النطاق، سياسة أمن المعلومات</t>
        </is>
      </c>
      <c r="H15" s="4" t="inlineStr">
        <is>
          <t>مدير أمن المعلومات بالتنسيق مع مالك العملية</t>
        </is>
      </c>
    </row>
    <row r="16">
      <c r="A16" s="7" t="inlineStr">
        <is>
          <t>A.5.12</t>
        </is>
      </c>
      <c r="B16" s="7" t="inlineStr">
        <is>
          <t>تصنيف المعلومات</t>
        </is>
      </c>
      <c r="C16" s="10" t="inlineStr">
        <is>
          <t>نعم</t>
        </is>
      </c>
      <c r="D16" s="11" t="inlineStr">
        <is>
          <t>مطبق جزئياً</t>
        </is>
      </c>
      <c r="E16" s="7" t="inlineStr">
        <is>
          <t>بيانات العملاء والمعاملات والرواتب ومعلومات الثغرات حساسة.</t>
        </is>
      </c>
      <c r="F16" s="7" t="inlineStr">
        <is>
          <t>يطبق التصنيف العام والداخلي والسري والسري للغاية.</t>
        </is>
      </c>
      <c r="G16" s="7" t="inlineStr">
        <is>
          <t>تقييم المخاطر ومعالجتها، بيان النطاق، سياسة أمن المعلومات</t>
        </is>
      </c>
      <c r="H16" s="7" t="inlineStr">
        <is>
          <t>مدير أمن المعلومات بالتنسيق مع مالك العملية</t>
        </is>
      </c>
    </row>
    <row r="17">
      <c r="A17" s="4" t="inlineStr">
        <is>
          <t>A.5.13</t>
        </is>
      </c>
      <c r="B17" s="4" t="inlineStr">
        <is>
          <t>وسم المعلومات</t>
        </is>
      </c>
      <c r="C17" s="8" t="inlineStr">
        <is>
          <t>نعم</t>
        </is>
      </c>
      <c r="D17" s="12" t="inlineStr">
        <is>
          <t>غير مكتمل</t>
        </is>
      </c>
      <c r="E17" s="4" t="inlineStr">
        <is>
          <t>يساعد الوسم على منع مشاركة المعلومات الحساسة خارج الغرض.</t>
        </is>
      </c>
      <c r="F17" s="4" t="inlineStr">
        <is>
          <t>تضاف قواعد وسم للوثائق والبريد والتقارير.</t>
        </is>
      </c>
      <c r="G17" s="4" t="inlineStr">
        <is>
          <t>تقييم المخاطر ومعالجتها، بيان النطاق، سياسة أمن المعلومات</t>
        </is>
      </c>
      <c r="H17" s="4" t="inlineStr">
        <is>
          <t>مدير أمن المعلومات بالتنسيق مع مالك العملية</t>
        </is>
      </c>
    </row>
    <row r="18">
      <c r="A18" s="7" t="inlineStr">
        <is>
          <t>A.5.14</t>
        </is>
      </c>
      <c r="B18" s="7" t="inlineStr">
        <is>
          <t>نقل المعلومات</t>
        </is>
      </c>
      <c r="C18" s="10" t="inlineStr">
        <is>
          <t>نعم</t>
        </is>
      </c>
      <c r="D18" s="11" t="inlineStr">
        <is>
          <t>مطبق جزئياً</t>
        </is>
      </c>
      <c r="E18" s="7" t="inlineStr">
        <is>
          <t>تنقل معلومات مالية وشخصية عبر القنوات الداخلية والموردين والمراسلين.</t>
        </is>
      </c>
      <c r="F18" s="7" t="inlineStr">
        <is>
          <t>تستخدم قنوات مؤمنة وتشفير واتفاقيات نقل معتمدة.</t>
        </is>
      </c>
      <c r="G18" s="7" t="inlineStr">
        <is>
          <t>تقييم المخاطر ومعالجتها، بيان النطاق، سياسة أمن المعلومات</t>
        </is>
      </c>
      <c r="H18" s="7" t="inlineStr">
        <is>
          <t>مدير أمن المعلومات بالتنسيق مع مالك العملية</t>
        </is>
      </c>
    </row>
    <row r="19">
      <c r="A19" s="4" t="inlineStr">
        <is>
          <t>A.5.15</t>
        </is>
      </c>
      <c r="B19" s="4" t="inlineStr">
        <is>
          <t>التحكم في الوصول</t>
        </is>
      </c>
      <c r="C19" s="8" t="inlineStr">
        <is>
          <t>نعم</t>
        </is>
      </c>
      <c r="D19" s="11" t="inlineStr">
        <is>
          <t>مطبق جزئياً</t>
        </is>
      </c>
      <c r="E19" s="4" t="inlineStr">
        <is>
          <t>وجود صلاحيات موروثة في مجلدات الموارد البشرية يثبت الحاجة لتعزيز التحكم.</t>
        </is>
      </c>
      <c r="F19" s="4" t="inlineStr">
        <is>
          <t>يرتبط بالخطر R-006 ومراجعات الوصول.</t>
        </is>
      </c>
      <c r="G19" s="4" t="inlineStr">
        <is>
          <t>R-006؛ سياسة الوصول ومراجعة الصلاحيات</t>
        </is>
      </c>
      <c r="H19" s="4" t="inlineStr">
        <is>
          <t>مدير أمن المعلومات بالتنسيق مع مالك العملية</t>
        </is>
      </c>
    </row>
    <row r="20">
      <c r="A20" s="7" t="inlineStr">
        <is>
          <t>A.5.16</t>
        </is>
      </c>
      <c r="B20" s="7" t="inlineStr">
        <is>
          <t>إدارة الهوية</t>
        </is>
      </c>
      <c r="C20" s="10" t="inlineStr">
        <is>
          <t>نعم</t>
        </is>
      </c>
      <c r="D20" s="11" t="inlineStr">
        <is>
          <t>مطبق جزئياً</t>
        </is>
      </c>
      <c r="E20" s="7" t="inlineStr">
        <is>
          <t>يستخدم البنك Active Directory وRSA SecurID لإدارة الهوية والوصول عن بعد.</t>
        </is>
      </c>
      <c r="F20" s="7" t="inlineStr">
        <is>
          <t>تستكمل دورة حياة الحسابات والتكامل مع الموارد البشرية.</t>
        </is>
      </c>
      <c r="G20" s="7" t="inlineStr">
        <is>
          <t>تقييم المخاطر ومعالجتها، بيان النطاق، سياسة أمن المعلومات</t>
        </is>
      </c>
      <c r="H20" s="7" t="inlineStr">
        <is>
          <t>مدير أمن المعلومات بالتنسيق مع مالك العملية</t>
        </is>
      </c>
    </row>
    <row r="21">
      <c r="A21" s="4" t="inlineStr">
        <is>
          <t>A.5.17</t>
        </is>
      </c>
      <c r="B21" s="4" t="inlineStr">
        <is>
          <t>معلومات المصادقة</t>
        </is>
      </c>
      <c r="C21" s="8" t="inlineStr">
        <is>
          <t>نعم</t>
        </is>
      </c>
      <c r="D21" s="11" t="inlineStr">
        <is>
          <t>مطبق جزئياً</t>
        </is>
      </c>
      <c r="E21" s="4" t="inlineStr">
        <is>
          <t>توجد حسابات وكلمات مرور مميزة تدار يدوياً حالياً.</t>
        </is>
      </c>
      <c r="F21" s="4" t="inlineStr">
        <is>
          <t>ينفذ برنامج إدارة كلمات المرور المميزة ويمنع المشاركة.</t>
        </is>
      </c>
      <c r="G21" s="4" t="inlineStr">
        <is>
          <t>تقييم المخاطر ومعالجتها، بيان النطاق، سياسة أمن المعلومات</t>
        </is>
      </c>
      <c r="H21" s="4" t="inlineStr">
        <is>
          <t>مدير أمن المعلومات بالتنسيق مع مالك العملية</t>
        </is>
      </c>
    </row>
    <row r="22">
      <c r="A22" s="7" t="inlineStr">
        <is>
          <t>A.5.18</t>
        </is>
      </c>
      <c r="B22" s="7" t="inlineStr">
        <is>
          <t>حقوق الوصول</t>
        </is>
      </c>
      <c r="C22" s="10" t="inlineStr">
        <is>
          <t>نعم</t>
        </is>
      </c>
      <c r="D22" s="12" t="inlineStr">
        <is>
          <t>غير مكتمل</t>
        </is>
      </c>
      <c r="E22" s="7" t="inlineStr">
        <is>
          <t>تم اكتشاف صلاحيات موروثة وعدم مراجعة دورية.</t>
        </is>
      </c>
      <c r="F22" s="7" t="inlineStr">
        <is>
          <t>يرتبط مباشرة بالخطر R-006 ويحتاج مراجعة ربع سنوية.</t>
        </is>
      </c>
      <c r="G22" s="7" t="inlineStr">
        <is>
          <t>R-006؛ سياسة الوصول ومراجعة الصلاحيات</t>
        </is>
      </c>
      <c r="H22" s="7" t="inlineStr">
        <is>
          <t>مدير أمن المعلومات بالتنسيق مع مالك العملية</t>
        </is>
      </c>
    </row>
    <row r="23">
      <c r="A23" s="4" t="inlineStr">
        <is>
          <t>A.5.19</t>
        </is>
      </c>
      <c r="B23" s="4" t="inlineStr">
        <is>
          <t>أمن العلاقات مع الموردين</t>
        </is>
      </c>
      <c r="C23" s="8" t="inlineStr">
        <is>
          <t>نعم</t>
        </is>
      </c>
      <c r="D23" s="11" t="inlineStr">
        <is>
          <t>مطبق جزئياً</t>
        </is>
      </c>
      <c r="E23" s="4" t="inlineStr">
        <is>
          <t>يعتمد البنك على AWS والاتصالات وتطوير التطبيق وصيانة الصرافات.</t>
        </is>
      </c>
      <c r="F23" s="4" t="inlineStr">
        <is>
          <t>تحتاج العقود والتقييمات إلى توحيد ومتابعة.</t>
        </is>
      </c>
      <c r="G23" s="4" t="inlineStr">
        <is>
          <t>R-009 وR-010؛ إدارة الموردين</t>
        </is>
      </c>
      <c r="H23" s="4" t="inlineStr">
        <is>
          <t>مدير أمن المعلومات بالتنسيق مع مالك العملية</t>
        </is>
      </c>
    </row>
    <row r="24">
      <c r="A24" s="7" t="inlineStr">
        <is>
          <t>A.5.20</t>
        </is>
      </c>
      <c r="B24" s="7" t="inlineStr">
        <is>
          <t>أمن المعلومات في اتفاقيات الموردين</t>
        </is>
      </c>
      <c r="C24" s="10" t="inlineStr">
        <is>
          <t>نعم</t>
        </is>
      </c>
      <c r="D24" s="11" t="inlineStr">
        <is>
          <t>مطبق جزئياً</t>
        </is>
      </c>
      <c r="E24" s="7" t="inlineStr">
        <is>
          <t>البيانات والخدمات المصرفية تتطلب شروطاً أمنية وإبلاغاً عن الحوادث.</t>
        </is>
      </c>
      <c r="F24" s="7" t="inlineStr">
        <is>
          <t>تحدث قوالب العقود واتفاقيات مستوى الخدمة.</t>
        </is>
      </c>
      <c r="G24" s="7" t="inlineStr">
        <is>
          <t>R-009 وR-010؛ إدارة الموردين</t>
        </is>
      </c>
      <c r="H24" s="7" t="inlineStr">
        <is>
          <t>مدير أمن المعلومات بالتنسيق مع مالك العملية</t>
        </is>
      </c>
    </row>
    <row r="25">
      <c r="A25" s="4" t="inlineStr">
        <is>
          <t>A.5.21</t>
        </is>
      </c>
      <c r="B25" s="4" t="inlineStr">
        <is>
          <t>أمن سلسلة توريد تقنية المعلومات</t>
        </is>
      </c>
      <c r="C25" s="8" t="inlineStr">
        <is>
          <t>نعم</t>
        </is>
      </c>
      <c r="D25" s="12" t="inlineStr">
        <is>
          <t>غير مكتمل</t>
        </is>
      </c>
      <c r="E25" s="4" t="inlineStr">
        <is>
          <t>تتعدد منتجات الأمن والاتصالات والتطوير والتكاملات.</t>
        </is>
      </c>
      <c r="F25" s="4" t="inlineStr">
        <is>
          <t>ينفذ تقييم مخاطر سلسلة التوريد ومراقبة المكونات.</t>
        </is>
      </c>
      <c r="G25" s="4" t="inlineStr">
        <is>
          <t>R-009 وR-010؛ إدارة الموردين</t>
        </is>
      </c>
      <c r="H25" s="4" t="inlineStr">
        <is>
          <t>مدير أمن المعلومات بالتنسيق مع مالك العملية</t>
        </is>
      </c>
    </row>
    <row r="26">
      <c r="A26" s="7" t="inlineStr">
        <is>
          <t>A.5.22</t>
        </is>
      </c>
      <c r="B26" s="7" t="inlineStr">
        <is>
          <t>مراقبة خدمات الموردين وتغييرها</t>
        </is>
      </c>
      <c r="C26" s="10" t="inlineStr">
        <is>
          <t>نعم</t>
        </is>
      </c>
      <c r="D26" s="11" t="inlineStr">
        <is>
          <t>مطبق جزئياً</t>
        </is>
      </c>
      <c r="E26" s="7" t="inlineStr">
        <is>
          <t>تحتاج الخدمات السحابية والاتصالات والصرافات إلى قياس ومراجعة.</t>
        </is>
      </c>
      <c r="F26" s="7" t="inlineStr">
        <is>
          <t>تحدد مؤشرات أداء ومراجعات سنوية وخطط خروج.</t>
        </is>
      </c>
      <c r="G26" s="7" t="inlineStr">
        <is>
          <t>R-009 وR-010؛ إدارة الموردين</t>
        </is>
      </c>
      <c r="H26" s="7" t="inlineStr">
        <is>
          <t>مدير أمن المعلومات بالتنسيق مع مالك العملية</t>
        </is>
      </c>
    </row>
    <row r="27">
      <c r="A27" s="4" t="inlineStr">
        <is>
          <t>A.5.23</t>
        </is>
      </c>
      <c r="B27" s="4" t="inlineStr">
        <is>
          <t>أمن استخدام الخدمات السحابية</t>
        </is>
      </c>
      <c r="C27" s="8" t="inlineStr">
        <is>
          <t>نعم</t>
        </is>
      </c>
      <c r="D27" s="12" t="inlineStr">
        <is>
          <t>غير مكتمل</t>
        </is>
      </c>
      <c r="E27" s="4" t="inlineStr">
        <is>
          <t>يستخدم AWS لبعض الأنظمة غير الحرجة.</t>
        </is>
      </c>
      <c r="F27" s="4" t="inlineStr">
        <is>
          <t>تستكمل المسؤوليات المشتركة والتشفير والتقييم والخروج.</t>
        </is>
      </c>
      <c r="G27" s="4" t="inlineStr">
        <is>
          <t>R-009 وR-010؛ إدارة الموردين</t>
        </is>
      </c>
      <c r="H27" s="4" t="inlineStr">
        <is>
          <t>مدير أمن المعلومات بالتنسيق مع مالك العملية</t>
        </is>
      </c>
    </row>
    <row r="28">
      <c r="A28" s="7" t="inlineStr">
        <is>
          <t>A.5.24</t>
        </is>
      </c>
      <c r="B28" s="7" t="inlineStr">
        <is>
          <t>تخطيط وإعداد إدارة الحوادث</t>
        </is>
      </c>
      <c r="C28" s="10" t="inlineStr">
        <is>
          <t>نعم</t>
        </is>
      </c>
      <c r="D28" s="11" t="inlineStr">
        <is>
          <t>مطبق جزئياً</t>
        </is>
      </c>
      <c r="E28" s="7" t="inlineStr">
        <is>
          <t>لدى البنك فريق استجابة للحوادث ووقعت حوادث فعلية.</t>
        </is>
      </c>
      <c r="F28" s="7" t="inlineStr">
        <is>
          <t>تستكمل الخطة وسيناريوهات التصعيد والتمارين.</t>
        </is>
      </c>
      <c r="G28" s="7" t="inlineStr">
        <is>
          <t>تقييم المخاطر ومعالجتها، بيان النطاق، سياسة أمن المعلومات</t>
        </is>
      </c>
      <c r="H28" s="7" t="inlineStr">
        <is>
          <t>مدير أمن المعلومات بالتنسيق مع مالك العملية</t>
        </is>
      </c>
    </row>
    <row r="29">
      <c r="A29" s="4" t="inlineStr">
        <is>
          <t>A.5.25</t>
        </is>
      </c>
      <c r="B29" s="4" t="inlineStr">
        <is>
          <t>تقييم الأحداث والقرار بشأنها</t>
        </is>
      </c>
      <c r="C29" s="8" t="inlineStr">
        <is>
          <t>نعم</t>
        </is>
      </c>
      <c r="D29" s="12" t="inlineStr">
        <is>
          <t>غير مكتمل</t>
        </is>
      </c>
      <c r="E29" s="4" t="inlineStr">
        <is>
          <t>تحليل السجلات يدوي ولا يوجد SIEM حالياً.</t>
        </is>
      </c>
      <c r="F29" s="4" t="inlineStr">
        <is>
          <t>تحدد معايير التصنيف وأولوية الأحداث ومسؤولية القرار.</t>
        </is>
      </c>
      <c r="G29" s="4" t="inlineStr">
        <is>
          <t>تقييم المخاطر ومعالجتها، بيان النطاق، سياسة أمن المعلومات</t>
        </is>
      </c>
      <c r="H29" s="4" t="inlineStr">
        <is>
          <t>مدير أمن المعلومات بالتنسيق مع مالك العملية</t>
        </is>
      </c>
    </row>
    <row r="30">
      <c r="A30" s="7" t="inlineStr">
        <is>
          <t>A.5.26</t>
        </is>
      </c>
      <c r="B30" s="7" t="inlineStr">
        <is>
          <t>الاستجابة لحوادث أمن المعلومات</t>
        </is>
      </c>
      <c r="C30" s="10" t="inlineStr">
        <is>
          <t>نعم</t>
        </is>
      </c>
      <c r="D30" s="11" t="inlineStr">
        <is>
          <t>مطبق جزئياً</t>
        </is>
      </c>
      <c r="E30" s="7" t="inlineStr">
        <is>
          <t>يوجد فريق استجابة، لكن دروس الحوادث السابقة لم توثق كفاية.</t>
        </is>
      </c>
      <c r="F30" s="7" t="inlineStr">
        <is>
          <t>يرتبط بإجراء الاستجابة وسجل الإجراءات التصحيحية.</t>
        </is>
      </c>
      <c r="G30" s="7" t="inlineStr">
        <is>
          <t>تقييم المخاطر ومعالجتها، بيان النطاق، سياسة أمن المعلومات</t>
        </is>
      </c>
      <c r="H30" s="7" t="inlineStr">
        <is>
          <t>مدير أمن المعلومات بالتنسيق مع مالك العملية</t>
        </is>
      </c>
    </row>
    <row r="31">
      <c r="A31" s="4" t="inlineStr">
        <is>
          <t>A.5.27</t>
        </is>
      </c>
      <c r="B31" s="4" t="inlineStr">
        <is>
          <t>التعلم من حوادث أمن المعلومات</t>
        </is>
      </c>
      <c r="C31" s="8" t="inlineStr">
        <is>
          <t>نعم</t>
        </is>
      </c>
      <c r="D31" s="12" t="inlineStr">
        <is>
          <t>غير مكتمل</t>
        </is>
      </c>
      <c r="E31" s="4" t="inlineStr">
        <is>
          <t>أظهرت الحوادث السابقة دروساً لم توثق رسمياً.</t>
        </is>
      </c>
      <c r="F31" s="4" t="inlineStr">
        <is>
          <t>تضاف مراجعة ما بعد الحادث ومؤشرات الإغلاق.</t>
        </is>
      </c>
      <c r="G31" s="4" t="inlineStr">
        <is>
          <t>تقييم المخاطر ومعالجتها، بيان النطاق، سياسة أمن المعلومات</t>
        </is>
      </c>
      <c r="H31" s="4" t="inlineStr">
        <is>
          <t>مدير أمن المعلومات بالتنسيق مع مالك العملية</t>
        </is>
      </c>
    </row>
    <row r="32">
      <c r="A32" s="7" t="inlineStr">
        <is>
          <t>A.5.28</t>
        </is>
      </c>
      <c r="B32" s="7" t="inlineStr">
        <is>
          <t>جمع الأدلة</t>
        </is>
      </c>
      <c r="C32" s="10" t="inlineStr">
        <is>
          <t>نعم</t>
        </is>
      </c>
      <c r="D32" s="11" t="inlineStr">
        <is>
          <t>مطبق جزئياً</t>
        </is>
      </c>
      <c r="E32" s="7" t="inlineStr">
        <is>
          <t>قد تحتاج الحوادث المصرفية إلى أدلة رقمية وتحقيقات تنظيمية.</t>
        </is>
      </c>
      <c r="F32" s="7" t="inlineStr">
        <is>
          <t>توثق سلسلة الحيازة والصلاحيات والاحتفاظ.</t>
        </is>
      </c>
      <c r="G32" s="7" t="inlineStr">
        <is>
          <t>تقييم المخاطر ومعالجتها، بيان النطاق، سياسة أمن المعلومات</t>
        </is>
      </c>
      <c r="H32" s="7" t="inlineStr">
        <is>
          <t>مدير أمن المعلومات بالتنسيق مع مالك العملية</t>
        </is>
      </c>
    </row>
    <row r="33">
      <c r="A33" s="4" t="inlineStr">
        <is>
          <t>A.5.29</t>
        </is>
      </c>
      <c r="B33" s="4" t="inlineStr">
        <is>
          <t>أمن المعلومات أثناء التعطل</t>
        </is>
      </c>
      <c r="C33" s="8" t="inlineStr">
        <is>
          <t>نعم</t>
        </is>
      </c>
      <c r="D33" s="11" t="inlineStr">
        <is>
          <t>مطبق جزئياً</t>
        </is>
      </c>
      <c r="E33" s="4" t="inlineStr">
        <is>
          <t>انقطاع الخدمات السابق يثبت أثر التعطل على العملاء.</t>
        </is>
      </c>
      <c r="F33" s="4" t="inlineStr">
        <is>
          <t>يرتبط بخطة الاستمرارية واختبارات التشغيل البديل.</t>
        </is>
      </c>
      <c r="G33" s="4" t="inlineStr">
        <is>
          <t>R-002 وR-007 وR-008 وR-012؛ خطة BCP/DR</t>
        </is>
      </c>
      <c r="H33" s="4" t="inlineStr">
        <is>
          <t>مدير أمن المعلومات بالتنسيق مع مالك العملية</t>
        </is>
      </c>
    </row>
    <row r="34">
      <c r="A34" s="7" t="inlineStr">
        <is>
          <t>A.5.30</t>
        </is>
      </c>
      <c r="B34" s="7" t="inlineStr">
        <is>
          <t>جاهزية تقنية لاستمرارية الأعمال</t>
        </is>
      </c>
      <c r="C34" s="10" t="inlineStr">
        <is>
          <t>نعم</t>
        </is>
      </c>
      <c r="D34" s="11" t="inlineStr">
        <is>
          <t>مطبق جزئياً</t>
        </is>
      </c>
      <c r="E34" s="7" t="inlineStr">
        <is>
          <t>يوجد مركز تعافٍ في جدة وروابط مزدوجة ومولدات.</t>
        </is>
      </c>
      <c r="F34" s="7" t="inlineStr">
        <is>
          <t>تحتاج اختبارات RTO/RPO ومراجعة القدرات.</t>
        </is>
      </c>
      <c r="G34" s="7" t="inlineStr">
        <is>
          <t>R-002 وR-007 وR-008 وR-012؛ خطة BCP/DR</t>
        </is>
      </c>
      <c r="H34" s="7" t="inlineStr">
        <is>
          <t>مدير أمن المعلومات بالتنسيق مع مالك العملية</t>
        </is>
      </c>
    </row>
    <row r="35">
      <c r="A35" s="4" t="inlineStr">
        <is>
          <t>A.5.31</t>
        </is>
      </c>
      <c r="B35" s="4" t="inlineStr">
        <is>
          <t>المتطلبات القانونية والتنظيمية والتعاقدية</t>
        </is>
      </c>
      <c r="C35" s="8" t="inlineStr">
        <is>
          <t>نعم</t>
        </is>
      </c>
      <c r="D35" s="11" t="inlineStr">
        <is>
          <t>مطبق جزئياً</t>
        </is>
      </c>
      <c r="E35" s="4" t="inlineStr">
        <is>
          <t>يخضع البنك لمتطلبات ساما وسدايا والأنظمة والعقود.</t>
        </is>
      </c>
      <c r="F35" s="4" t="inlineStr">
        <is>
          <t>يستكمل سجل الالتزامات ومراجعة التغييرات.</t>
        </is>
      </c>
      <c r="G35" s="4" t="inlineStr">
        <is>
          <t>تقييم المخاطر ومعالجتها، بيان النطاق، سياسة أمن المعلومات</t>
        </is>
      </c>
      <c r="H35" s="4" t="inlineStr">
        <is>
          <t>مدير أمن المعلومات بالتنسيق مع مالك العملية</t>
        </is>
      </c>
    </row>
    <row r="36">
      <c r="A36" s="7" t="inlineStr">
        <is>
          <t>A.5.32</t>
        </is>
      </c>
      <c r="B36" s="7" t="inlineStr">
        <is>
          <t>حقوق الملكية الفكرية</t>
        </is>
      </c>
      <c r="C36" s="10" t="inlineStr">
        <is>
          <t>نعم</t>
        </is>
      </c>
      <c r="D36" s="11" t="inlineStr">
        <is>
          <t>مطبق جزئياً</t>
        </is>
      </c>
      <c r="E36" s="7" t="inlineStr">
        <is>
          <t>يمتلك البنك شيفرة وتطبيقات وتراخيص برمجيات.</t>
        </is>
      </c>
      <c r="F36" s="7" t="inlineStr">
        <is>
          <t>توثق التراخيص وحقوق الكود والمكونات.</t>
        </is>
      </c>
      <c r="G36" s="7" t="inlineStr">
        <is>
          <t>تقييم المخاطر ومعالجتها، بيان النطاق، سياسة أمن المعلومات</t>
        </is>
      </c>
      <c r="H36" s="7" t="inlineStr">
        <is>
          <t>مدير أمن المعلومات بالتنسيق مع مالك العملية</t>
        </is>
      </c>
    </row>
    <row r="37">
      <c r="A37" s="4" t="inlineStr">
        <is>
          <t>A.5.33</t>
        </is>
      </c>
      <c r="B37" s="4" t="inlineStr">
        <is>
          <t>حماية السجلات</t>
        </is>
      </c>
      <c r="C37" s="8" t="inlineStr">
        <is>
          <t>نعم</t>
        </is>
      </c>
      <c r="D37" s="11" t="inlineStr">
        <is>
          <t>مطبق جزئياً</t>
        </is>
      </c>
      <c r="E37" s="4" t="inlineStr">
        <is>
          <t>السجلات المصرفية والأمنية والتدقيقية أدلة على الالتزام.</t>
        </is>
      </c>
      <c r="F37" s="4" t="inlineStr">
        <is>
          <t>تحدد مدد الاحتفاظ والحماية والاسترجاع.</t>
        </is>
      </c>
      <c r="G37" s="4" t="inlineStr">
        <is>
          <t>تقييم المخاطر ومعالجتها، بيان النطاق، سياسة أمن المعلومات</t>
        </is>
      </c>
      <c r="H37" s="4" t="inlineStr">
        <is>
          <t>مدير أمن المعلومات بالتنسيق مع مالك العملية</t>
        </is>
      </c>
    </row>
    <row r="38">
      <c r="A38" s="7" t="inlineStr">
        <is>
          <t>A.5.34</t>
        </is>
      </c>
      <c r="B38" s="7" t="inlineStr">
        <is>
          <t>الخصوصية وحماية البيانات الشخصية</t>
        </is>
      </c>
      <c r="C38" s="10" t="inlineStr">
        <is>
          <t>نعم</t>
        </is>
      </c>
      <c r="D38" s="11" t="inlineStr">
        <is>
          <t>مطبق جزئياً</t>
        </is>
      </c>
      <c r="E38" s="7" t="inlineStr">
        <is>
          <t>يعالج البنك بيانات شخصية ومالية حساسة للعملاء والموظفين.</t>
        </is>
      </c>
      <c r="F38" s="7" t="inlineStr">
        <is>
          <t>يستكمل سجل المعالجة وطلبات أصحاب البيانات وضوابط الإخطار.</t>
        </is>
      </c>
      <c r="G38" s="7" t="inlineStr">
        <is>
          <t>تقييم المخاطر ومعالجتها، بيان النطاق، سياسة أمن المعلومات</t>
        </is>
      </c>
      <c r="H38" s="7" t="inlineStr">
        <is>
          <t>مدير أمن المعلومات بالتنسيق مع مالك العملية</t>
        </is>
      </c>
    </row>
    <row r="39">
      <c r="A39" s="4" t="inlineStr">
        <is>
          <t>A.5.35</t>
        </is>
      </c>
      <c r="B39" s="4" t="inlineStr">
        <is>
          <t>مراجعة مستقلة لأمن المعلومات</t>
        </is>
      </c>
      <c r="C39" s="8" t="inlineStr">
        <is>
          <t>نعم</t>
        </is>
      </c>
      <c r="D39" s="11" t="inlineStr">
        <is>
          <t>مطبق جزئياً</t>
        </is>
      </c>
      <c r="E39" s="4" t="inlineStr">
        <is>
          <t>توجد إدارة مراجعة داخلية ويتطلب المشروع تدقيقاً.</t>
        </is>
      </c>
      <c r="F39" s="4" t="inlineStr">
        <is>
          <t>ينفذ برنامج مراجعة مستقل مبني على المخاطر.</t>
        </is>
      </c>
      <c r="G39" s="4" t="inlineStr">
        <is>
          <t>تقييم المخاطر ومعالجتها، بيان النطاق، سياسة أمن المعلومات</t>
        </is>
      </c>
      <c r="H39" s="4" t="inlineStr">
        <is>
          <t>مدير أمن المعلومات بالتنسيق مع مالك العملية</t>
        </is>
      </c>
    </row>
    <row r="40">
      <c r="A40" s="7" t="inlineStr">
        <is>
          <t>A.5.36</t>
        </is>
      </c>
      <c r="B40" s="7" t="inlineStr">
        <is>
          <t>الالتزام بالسياسات والقواعد والمعايير</t>
        </is>
      </c>
      <c r="C40" s="10" t="inlineStr">
        <is>
          <t>نعم</t>
        </is>
      </c>
      <c r="D40" s="12" t="inlineStr">
        <is>
          <t>غير مكتمل</t>
        </is>
      </c>
      <c r="E40" s="7" t="inlineStr">
        <is>
          <t>توجد سياسة جديدة وفجوات تشغيلية متعددة.</t>
        </is>
      </c>
      <c r="F40" s="7" t="inlineStr">
        <is>
          <t>تجرى اختبارات التزام دورية وتوثق النتائج.</t>
        </is>
      </c>
      <c r="G40" s="7" t="inlineStr">
        <is>
          <t>تقييم المخاطر ومعالجتها، بيان النطاق، سياسة أمن المعلومات</t>
        </is>
      </c>
      <c r="H40" s="7" t="inlineStr">
        <is>
          <t>مدير أمن المعلومات بالتنسيق مع مالك العملية</t>
        </is>
      </c>
    </row>
    <row r="41">
      <c r="A41" s="4" t="inlineStr">
        <is>
          <t>A.5.37</t>
        </is>
      </c>
      <c r="B41" s="4" t="inlineStr">
        <is>
          <t>إجراءات التشغيل الموثقة</t>
        </is>
      </c>
      <c r="C41" s="8" t="inlineStr">
        <is>
          <t>نعم</t>
        </is>
      </c>
      <c r="D41" s="12" t="inlineStr">
        <is>
          <t>غير مكتمل</t>
        </is>
      </c>
      <c r="E41" s="4" t="inlineStr">
        <is>
          <t>تحتاج عمليات النسخ الاحتياطي والتشفير والتحديث والثغرات إلى إجراءات رسمية.</t>
        </is>
      </c>
      <c r="F41" s="4" t="inlineStr">
        <is>
          <t>يرتبط بالملف رقم 12 من متطلبات المشروع.</t>
        </is>
      </c>
      <c r="G41" s="4" t="inlineStr">
        <is>
          <t>تقييم المخاطر ومعالجتها، بيان النطاق، سياسة أمن المعلومات</t>
        </is>
      </c>
      <c r="H41" s="4" t="inlineStr">
        <is>
          <t>مدير أمن المعلومات بالتنسيق مع مالك العملية</t>
        </is>
      </c>
    </row>
    <row r="42">
      <c r="A42" s="7" t="inlineStr">
        <is>
          <t>A.6.1</t>
        </is>
      </c>
      <c r="B42" s="7" t="inlineStr">
        <is>
          <t>التحقق من الموظفين</t>
        </is>
      </c>
      <c r="C42" s="10" t="inlineStr">
        <is>
          <t>نعم</t>
        </is>
      </c>
      <c r="D42" s="11" t="inlineStr">
        <is>
          <t>مطبق جزئياً</t>
        </is>
      </c>
      <c r="E42" s="7" t="inlineStr">
        <is>
          <t>يتعامل الموظفون مع بيانات مالية وشخصية وصلاحيات حساسة.</t>
        </is>
      </c>
      <c r="F42" s="7" t="inlineStr">
        <is>
          <t>تطبق فحوص ما قبل التوظيف وفق النظام والوظيفة.</t>
        </is>
      </c>
      <c r="G42" s="7" t="inlineStr">
        <is>
          <t>تقييم المخاطر ومعالجتها، بيان النطاق، سياسة أمن المعلومات</t>
        </is>
      </c>
      <c r="H42" s="7" t="inlineStr">
        <is>
          <t>مدير أمن المعلومات بالتنسيق مع مالك العملية</t>
        </is>
      </c>
    </row>
    <row r="43">
      <c r="A43" s="4" t="inlineStr">
        <is>
          <t>A.6.2</t>
        </is>
      </c>
      <c r="B43" s="4" t="inlineStr">
        <is>
          <t>شروط وأحكام العمل</t>
        </is>
      </c>
      <c r="C43" s="8" t="inlineStr">
        <is>
          <t>نعم</t>
        </is>
      </c>
      <c r="D43" s="11" t="inlineStr">
        <is>
          <t>مطبق جزئياً</t>
        </is>
      </c>
      <c r="E43" s="4" t="inlineStr">
        <is>
          <t>تتطلب الوظائف التزاماً بالسياسة والسرية والإبلاغ.</t>
        </is>
      </c>
      <c r="F43" s="4" t="inlineStr">
        <is>
          <t>تحدث العقود والإقرارات الأمنية.</t>
        </is>
      </c>
      <c r="G43" s="4" t="inlineStr">
        <is>
          <t>تقييم المخاطر ومعالجتها، بيان النطاق، سياسة أمن المعلومات</t>
        </is>
      </c>
      <c r="H43" s="4" t="inlineStr">
        <is>
          <t>مدير أمن المعلومات بالتنسيق مع مالك العملية</t>
        </is>
      </c>
    </row>
    <row r="44">
      <c r="A44" s="7" t="inlineStr">
        <is>
          <t>A.6.3</t>
        </is>
      </c>
      <c r="B44" s="7" t="inlineStr">
        <is>
          <t>التوعية والتدريب</t>
        </is>
      </c>
      <c r="C44" s="10" t="inlineStr">
        <is>
          <t>نعم</t>
        </is>
      </c>
      <c r="D44" s="12" t="inlineStr">
        <is>
          <t>غير مكتمل</t>
        </is>
      </c>
      <c r="E44" s="7" t="inlineStr">
        <is>
          <t>أثبت اختبار التصيد نسبة نقر 25% وإبلاغ 8% فقط.</t>
        </is>
      </c>
      <c r="F44" s="7" t="inlineStr">
        <is>
          <t>تدريب موجه ومحاكاة وقياس دوري.</t>
        </is>
      </c>
      <c r="G44" s="7" t="inlineStr">
        <is>
          <t>R-003 وR-004؛ برنامج التوعية والاستجابة</t>
        </is>
      </c>
      <c r="H44" s="7" t="inlineStr">
        <is>
          <t>مدير أمن المعلومات بالتنسيق مع مالك العملية</t>
        </is>
      </c>
    </row>
    <row r="45">
      <c r="A45" s="4" t="inlineStr">
        <is>
          <t>A.6.4</t>
        </is>
      </c>
      <c r="B45" s="4" t="inlineStr">
        <is>
          <t>الإجراءات التأديبية</t>
        </is>
      </c>
      <c r="C45" s="8" t="inlineStr">
        <is>
          <t>نعم</t>
        </is>
      </c>
      <c r="D45" s="11" t="inlineStr">
        <is>
          <t>مطبق جزئياً</t>
        </is>
      </c>
      <c r="E45" s="4" t="inlineStr">
        <is>
          <t>يلزم ردع مخالفة السياسات مع تحقيق عادل.</t>
        </is>
      </c>
      <c r="F45" s="4" t="inlineStr">
        <is>
          <t>تربط السياسة بإجراءات الموارد البشرية.</t>
        </is>
      </c>
      <c r="G45" s="4" t="inlineStr">
        <is>
          <t>تقييم المخاطر ومعالجتها، بيان النطاق، سياسة أمن المعلومات</t>
        </is>
      </c>
      <c r="H45" s="4" t="inlineStr">
        <is>
          <t>مدير أمن المعلومات بالتنسيق مع مالك العملية</t>
        </is>
      </c>
    </row>
    <row r="46">
      <c r="A46" s="7" t="inlineStr">
        <is>
          <t>A.6.5</t>
        </is>
      </c>
      <c r="B46" s="7" t="inlineStr">
        <is>
          <t>المسؤوليات بعد انتهاء العمل</t>
        </is>
      </c>
      <c r="C46" s="10" t="inlineStr">
        <is>
          <t>نعم</t>
        </is>
      </c>
      <c r="D46" s="11" t="inlineStr">
        <is>
          <t>مطبق جزئياً</t>
        </is>
      </c>
      <c r="E46" s="7" t="inlineStr">
        <is>
          <t>توجد صلاحيات وحسابات ومعلومات يجب إلغاؤها عند المغادرة.</t>
        </is>
      </c>
      <c r="F46" s="7" t="inlineStr">
        <is>
          <t>قائمة تحقق إنهاء الخدمة ومراجعة لاحقة.</t>
        </is>
      </c>
      <c r="G46" s="7" t="inlineStr">
        <is>
          <t>تقييم المخاطر ومعالجتها، بيان النطاق، سياسة أمن المعلومات</t>
        </is>
      </c>
      <c r="H46" s="7" t="inlineStr">
        <is>
          <t>مدير أمن المعلومات بالتنسيق مع مالك العملية</t>
        </is>
      </c>
    </row>
    <row r="47">
      <c r="A47" s="4" t="inlineStr">
        <is>
          <t>A.6.6</t>
        </is>
      </c>
      <c r="B47" s="4" t="inlineStr">
        <is>
          <t>اتفاقيات السرية</t>
        </is>
      </c>
      <c r="C47" s="8" t="inlineStr">
        <is>
          <t>نعم</t>
        </is>
      </c>
      <c r="D47" s="11" t="inlineStr">
        <is>
          <t>مطبق جزئياً</t>
        </is>
      </c>
      <c r="E47" s="4" t="inlineStr">
        <is>
          <t>يتعامل الموردون والموظفون مع معلومات بنكية شديدة الحساسية.</t>
        </is>
      </c>
      <c r="F47" s="4" t="inlineStr">
        <is>
          <t>تستكمل اتفاقيات عدم الإفشاء حسب الدور.</t>
        </is>
      </c>
      <c r="G47" s="4" t="inlineStr">
        <is>
          <t>تقييم المخاطر ومعالجتها، بيان النطاق، سياسة أمن المعلومات</t>
        </is>
      </c>
      <c r="H47" s="4" t="inlineStr">
        <is>
          <t>مدير أمن المعلومات بالتنسيق مع مالك العملية</t>
        </is>
      </c>
    </row>
    <row r="48">
      <c r="A48" s="7" t="inlineStr">
        <is>
          <t>A.6.7</t>
        </is>
      </c>
      <c r="B48" s="7" t="inlineStr">
        <is>
          <t>العمل عن بعد</t>
        </is>
      </c>
      <c r="C48" s="10" t="inlineStr">
        <is>
          <t>نعم</t>
        </is>
      </c>
      <c r="D48" s="11" t="inlineStr">
        <is>
          <t>مطبق جزئياً</t>
        </is>
      </c>
      <c r="E48" s="7" t="inlineStr">
        <is>
          <t>يستخدم المدراء والموظفون المتنقلون أجهزة وحسابات خارج المواقع.</t>
        </is>
      </c>
      <c r="F48" s="7" t="inlineStr">
        <is>
          <t>تفرض VPN وMFA وتشفير الأجهزة.</t>
        </is>
      </c>
      <c r="G48" s="7" t="inlineStr">
        <is>
          <t>تقييم المخاطر ومعالجتها، بيان النطاق، سياسة أمن المعلومات</t>
        </is>
      </c>
      <c r="H48" s="7" t="inlineStr">
        <is>
          <t>مدير أمن المعلومات بالتنسيق مع مالك العملية</t>
        </is>
      </c>
    </row>
    <row r="49">
      <c r="A49" s="4" t="inlineStr">
        <is>
          <t>A.6.8</t>
        </is>
      </c>
      <c r="B49" s="4" t="inlineStr">
        <is>
          <t>الإبلاغ عن أحداث أمن المعلومات</t>
        </is>
      </c>
      <c r="C49" s="8" t="inlineStr">
        <is>
          <t>نعم</t>
        </is>
      </c>
      <c r="D49" s="12" t="inlineStr">
        <is>
          <t>غير مكتمل</t>
        </is>
      </c>
      <c r="E49" s="4" t="inlineStr">
        <is>
          <t>أظهر اختبار التصيد انخفاض معدل الإبلاغ.</t>
        </is>
      </c>
      <c r="F49" s="4" t="inlineStr">
        <is>
          <t>قناة موحدة وزمن إبلاغ وتوعية واختبار.</t>
        </is>
      </c>
      <c r="G49" s="4" t="inlineStr">
        <is>
          <t>R-003 وR-004؛ برنامج التوعية والاستجابة</t>
        </is>
      </c>
      <c r="H49" s="4" t="inlineStr">
        <is>
          <t>مدير أمن المعلومات بالتنسيق مع مالك العملية</t>
        </is>
      </c>
    </row>
    <row r="50">
      <c r="A50" s="7" t="inlineStr">
        <is>
          <t>A.7.1</t>
        </is>
      </c>
      <c r="B50" s="7" t="inlineStr">
        <is>
          <t>محيطات الأمن المادي</t>
        </is>
      </c>
      <c r="C50" s="10" t="inlineStr">
        <is>
          <t>نعم</t>
        </is>
      </c>
      <c r="D50" s="9" t="inlineStr">
        <is>
          <t>مطبق</t>
        </is>
      </c>
      <c r="E50" s="7" t="inlineStr">
        <is>
          <t>مركز البيانات ومركز العمليات والفروع تحتوي مناطق مقيدة.</t>
        </is>
      </c>
      <c r="F50" s="7" t="inlineStr">
        <is>
          <t>تطبق مناطق أمنية وحواجز وتحكم دخول.</t>
        </is>
      </c>
      <c r="G50" s="7" t="inlineStr">
        <is>
          <t>R-004 وR-012؛ سياسة الأمن المادي</t>
        </is>
      </c>
      <c r="H50" s="7" t="inlineStr">
        <is>
          <t>مدير أمن المعلومات بالتنسيق مع مالك العملية</t>
        </is>
      </c>
    </row>
    <row r="51">
      <c r="A51" s="4" t="inlineStr">
        <is>
          <t>A.7.2</t>
        </is>
      </c>
      <c r="B51" s="4" t="inlineStr">
        <is>
          <t>الدخول المادي</t>
        </is>
      </c>
      <c r="C51" s="8" t="inlineStr">
        <is>
          <t>نعم</t>
        </is>
      </c>
      <c r="D51" s="11" t="inlineStr">
        <is>
          <t>مطبق جزئياً</t>
        </is>
      </c>
      <c r="E51" s="4" t="inlineStr">
        <is>
          <t>يستخدم البنك بطاقات ذكية وبصمة وكاميرات.</t>
        </is>
      </c>
      <c r="F51" s="4" t="inlineStr">
        <is>
          <t>تستكمل مراجعة الزوار والصلاحيات.</t>
        </is>
      </c>
      <c r="G51" s="4" t="inlineStr">
        <is>
          <t>R-004 وR-012؛ سياسة الأمن المادي</t>
        </is>
      </c>
      <c r="H51" s="4" t="inlineStr">
        <is>
          <t>مدير أمن المعلومات بالتنسيق مع مالك العملية</t>
        </is>
      </c>
    </row>
    <row r="52">
      <c r="A52" s="7" t="inlineStr">
        <is>
          <t>A.7.3</t>
        </is>
      </c>
      <c r="B52" s="7" t="inlineStr">
        <is>
          <t>تأمين المكاتب والغرف والمرافق</t>
        </is>
      </c>
      <c r="C52" s="10" t="inlineStr">
        <is>
          <t>نعم</t>
        </is>
      </c>
      <c r="D52" s="11" t="inlineStr">
        <is>
          <t>مطبق جزئياً</t>
        </is>
      </c>
      <c r="E52" s="7" t="inlineStr">
        <is>
          <t>توجد غرف خوادم ومكاتب ومناطق تحميل ومركز بيانات.</t>
        </is>
      </c>
      <c r="F52" s="7" t="inlineStr">
        <is>
          <t>تطبق متطلبات المناطق الحساسة والإغلاق.</t>
        </is>
      </c>
      <c r="G52" s="7" t="inlineStr">
        <is>
          <t>R-004 وR-012؛ سياسة الأمن المادي</t>
        </is>
      </c>
      <c r="H52" s="7" t="inlineStr">
        <is>
          <t>مدير أمن المعلومات بالتنسيق مع مالك العملية</t>
        </is>
      </c>
    </row>
    <row r="53">
      <c r="A53" s="4" t="inlineStr">
        <is>
          <t>A.7.4</t>
        </is>
      </c>
      <c r="B53" s="4" t="inlineStr">
        <is>
          <t>المراقبة الأمنية المادية</t>
        </is>
      </c>
      <c r="C53" s="8" t="inlineStr">
        <is>
          <t>نعم</t>
        </is>
      </c>
      <c r="D53" s="11" t="inlineStr">
        <is>
          <t>مطبق جزئياً</t>
        </is>
      </c>
      <c r="E53" s="4" t="inlineStr">
        <is>
          <t>تغطي CCTV المباني ومراكز البيانات.</t>
        </is>
      </c>
      <c r="F53" s="4" t="inlineStr">
        <is>
          <t>تحدد مدد الاحتفاظ والوصول إلى التسجيلات.</t>
        </is>
      </c>
      <c r="G53" s="4" t="inlineStr">
        <is>
          <t>R-004 وR-012؛ سياسة الأمن المادي</t>
        </is>
      </c>
      <c r="H53" s="4" t="inlineStr">
        <is>
          <t>مدير أمن المعلومات بالتنسيق مع مالك العملية</t>
        </is>
      </c>
    </row>
    <row r="54">
      <c r="A54" s="7" t="inlineStr">
        <is>
          <t>A.7.5</t>
        </is>
      </c>
      <c r="B54" s="7" t="inlineStr">
        <is>
          <t>الحماية من التهديدات المادية والبيئية</t>
        </is>
      </c>
      <c r="C54" s="10" t="inlineStr">
        <is>
          <t>نعم</t>
        </is>
      </c>
      <c r="D54" s="11" t="inlineStr">
        <is>
          <t>مطبق جزئياً</t>
        </is>
      </c>
      <c r="E54" s="7" t="inlineStr">
        <is>
          <t>تتوفر UPS ومولدات وإطفاء وتبريد وموقع تعافٍ.</t>
        </is>
      </c>
      <c r="F54" s="7" t="inlineStr">
        <is>
          <t>تختبر الأنظمة وتوثق نتائج الصيانة والتمارين.</t>
        </is>
      </c>
      <c r="G54" s="7" t="inlineStr">
        <is>
          <t>R-002 وR-007 وR-008 وR-012؛ خطة BCP/DR</t>
        </is>
      </c>
      <c r="H54" s="7" t="inlineStr">
        <is>
          <t>مدير أمن المعلومات بالتنسيق مع مالك العملية</t>
        </is>
      </c>
    </row>
    <row r="55">
      <c r="A55" s="4" t="inlineStr">
        <is>
          <t>A.7.6</t>
        </is>
      </c>
      <c r="B55" s="4" t="inlineStr">
        <is>
          <t>العمل في المناطق الآمنة</t>
        </is>
      </c>
      <c r="C55" s="8" t="inlineStr">
        <is>
          <t>نعم</t>
        </is>
      </c>
      <c r="D55" s="11" t="inlineStr">
        <is>
          <t>مطبق جزئياً</t>
        </is>
      </c>
      <c r="E55" s="4" t="inlineStr">
        <is>
          <t>مركز البيانات وSOC مناطق آمنة ذات وصول مقيد.</t>
        </is>
      </c>
      <c r="F55" s="4" t="inlineStr">
        <is>
          <t>تطبق قواعد المرافقة والأجهزة والتصوير.</t>
        </is>
      </c>
      <c r="G55" s="4" t="inlineStr">
        <is>
          <t>R-004 وR-012؛ سياسة الأمن المادي</t>
        </is>
      </c>
      <c r="H55" s="4" t="inlineStr">
        <is>
          <t>مدير أمن المعلومات بالتنسيق مع مالك العملية</t>
        </is>
      </c>
    </row>
    <row r="56">
      <c r="A56" s="7" t="inlineStr">
        <is>
          <t>A.7.7</t>
        </is>
      </c>
      <c r="B56" s="7" t="inlineStr">
        <is>
          <t>المكتب والشاشة النظيفة</t>
        </is>
      </c>
      <c r="C56" s="10" t="inlineStr">
        <is>
          <t>نعم</t>
        </is>
      </c>
      <c r="D56" s="12" t="inlineStr">
        <is>
          <t>غير مكتمل</t>
        </is>
      </c>
      <c r="E56" s="7" t="inlineStr">
        <is>
          <t>حساسية المستندات والشاشات المصرفية تتطلب منع التعرض.</t>
        </is>
      </c>
      <c r="F56" s="7" t="inlineStr">
        <is>
          <t>تصدر سياسة وتنفذ جولات تحقق.</t>
        </is>
      </c>
      <c r="G56" s="7" t="inlineStr">
        <is>
          <t>R-004 وR-012؛ سياسة الأمن المادي</t>
        </is>
      </c>
      <c r="H56" s="7" t="inlineStr">
        <is>
          <t>مدير أمن المعلومات بالتنسيق مع مالك العملية</t>
        </is>
      </c>
    </row>
    <row r="57">
      <c r="A57" s="4" t="inlineStr">
        <is>
          <t>A.7.8</t>
        </is>
      </c>
      <c r="B57" s="4" t="inlineStr">
        <is>
          <t>تحديد موقع المعدات وحمايتها</t>
        </is>
      </c>
      <c r="C57" s="8" t="inlineStr">
        <is>
          <t>نعم</t>
        </is>
      </c>
      <c r="D57" s="11" t="inlineStr">
        <is>
          <t>مطبق جزئياً</t>
        </is>
      </c>
      <c r="E57" s="4" t="inlineStr">
        <is>
          <t>الخوادم وأجهزة الشبكة والصرافات موزعة في مواقع متعددة.</t>
        </is>
      </c>
      <c r="F57" s="4" t="inlineStr">
        <is>
          <t>تراجع الحماية من الوصول والحرارة والطاقة.</t>
        </is>
      </c>
      <c r="G57" s="4" t="inlineStr">
        <is>
          <t>R-004 وR-012؛ سياسة الأمن المادي</t>
        </is>
      </c>
      <c r="H57" s="4" t="inlineStr">
        <is>
          <t>مدير أمن المعلومات بالتنسيق مع مالك العملية</t>
        </is>
      </c>
    </row>
    <row r="58">
      <c r="A58" s="7" t="inlineStr">
        <is>
          <t>A.7.9</t>
        </is>
      </c>
      <c r="B58" s="7" t="inlineStr">
        <is>
          <t>أمن الأصول خارج المقر</t>
        </is>
      </c>
      <c r="C58" s="10" t="inlineStr">
        <is>
          <t>نعم</t>
        </is>
      </c>
      <c r="D58" s="12" t="inlineStr">
        <is>
          <t>غير مكتمل</t>
        </is>
      </c>
      <c r="E58" s="7" t="inlineStr">
        <is>
          <t>حادثة فقدان حاسب محمول كشفت غياب التشفير الكامل.</t>
        </is>
      </c>
      <c r="F58" s="7" t="inlineStr">
        <is>
          <t>تشفير ومسح عن بعد وتعليمات سفر وإبلاغ سريع.</t>
        </is>
      </c>
      <c r="G58" s="7" t="inlineStr">
        <is>
          <t>R-004 وR-012؛ سياسة الأمن المادي</t>
        </is>
      </c>
      <c r="H58" s="7" t="inlineStr">
        <is>
          <t>مدير أمن المعلومات بالتنسيق مع مالك العملية</t>
        </is>
      </c>
    </row>
    <row r="59">
      <c r="A59" s="4" t="inlineStr">
        <is>
          <t>A.7.10</t>
        </is>
      </c>
      <c r="B59" s="4" t="inlineStr">
        <is>
          <t>وسائط التخزين</t>
        </is>
      </c>
      <c r="C59" s="8" t="inlineStr">
        <is>
          <t>نعم</t>
        </is>
      </c>
      <c r="D59" s="11" t="inlineStr">
        <is>
          <t>مطبق جزئياً</t>
        </is>
      </c>
      <c r="E59" s="4" t="inlineStr">
        <is>
          <t>توجد مكتبة أشرطة ووسائط نسخ احتياطي وأجهزة طرفية.</t>
        </is>
      </c>
      <c r="F59" s="4" t="inlineStr">
        <is>
          <t>تشفير وتتبع ونقل وإتلاف آمن.</t>
        </is>
      </c>
      <c r="G59" s="4" t="inlineStr">
        <is>
          <t>R-004 وR-012؛ سياسة الأمن المادي</t>
        </is>
      </c>
      <c r="H59" s="4" t="inlineStr">
        <is>
          <t>مدير أمن المعلومات بالتنسيق مع مالك العملية</t>
        </is>
      </c>
    </row>
    <row r="60">
      <c r="A60" s="7" t="inlineStr">
        <is>
          <t>A.7.11</t>
        </is>
      </c>
      <c r="B60" s="7" t="inlineStr">
        <is>
          <t>المرافق الداعمة</t>
        </is>
      </c>
      <c r="C60" s="10" t="inlineStr">
        <is>
          <t>نعم</t>
        </is>
      </c>
      <c r="D60" s="11" t="inlineStr">
        <is>
          <t>مطبق جزئياً</t>
        </is>
      </c>
      <c r="E60" s="7" t="inlineStr">
        <is>
          <t>تعتمد المواقع الحرجة على الطاقة والتبريد والاتصالات.</t>
        </is>
      </c>
      <c r="F60" s="7" t="inlineStr">
        <is>
          <t>اختبارات وتحسين التكرار والصيانة.</t>
        </is>
      </c>
      <c r="G60" s="7" t="inlineStr">
        <is>
          <t>R-004 وR-012؛ سياسة الأمن المادي</t>
        </is>
      </c>
      <c r="H60" s="7" t="inlineStr">
        <is>
          <t>مدير أمن المعلومات بالتنسيق مع مالك العملية</t>
        </is>
      </c>
    </row>
    <row r="61">
      <c r="A61" s="4" t="inlineStr">
        <is>
          <t>A.7.12</t>
        </is>
      </c>
      <c r="B61" s="4" t="inlineStr">
        <is>
          <t>أمن الكابلات</t>
        </is>
      </c>
      <c r="C61" s="8" t="inlineStr">
        <is>
          <t>نعم</t>
        </is>
      </c>
      <c r="D61" s="11" t="inlineStr">
        <is>
          <t>مطبق جزئياً</t>
        </is>
      </c>
      <c r="E61" s="4" t="inlineStr">
        <is>
          <t>تربط الكابلات مراكز البيانات والفروع وأجهزة الشبكة.</t>
        </is>
      </c>
      <c r="F61" s="4" t="inlineStr">
        <is>
          <t>تحمى المسارات وتوثق نقاط الربط.</t>
        </is>
      </c>
      <c r="G61" s="4" t="inlineStr">
        <is>
          <t>R-004 وR-012؛ سياسة الأمن المادي</t>
        </is>
      </c>
      <c r="H61" s="4" t="inlineStr">
        <is>
          <t>مدير أمن المعلومات بالتنسيق مع مالك العملية</t>
        </is>
      </c>
    </row>
    <row r="62">
      <c r="A62" s="7" t="inlineStr">
        <is>
          <t>A.7.13</t>
        </is>
      </c>
      <c r="B62" s="7" t="inlineStr">
        <is>
          <t>صيانة المعدات</t>
        </is>
      </c>
      <c r="C62" s="10" t="inlineStr">
        <is>
          <t>نعم</t>
        </is>
      </c>
      <c r="D62" s="11" t="inlineStr">
        <is>
          <t>مطبق جزئياً</t>
        </is>
      </c>
      <c r="E62" s="7" t="inlineStr">
        <is>
          <t>تشمل الصيانة الخوادم وأجهزة الشبكة والصرافات.</t>
        </is>
      </c>
      <c r="F62" s="7" t="inlineStr">
        <is>
          <t>يسجل الموردون والصيانة والوصول المؤقت.</t>
        </is>
      </c>
      <c r="G62" s="7" t="inlineStr">
        <is>
          <t>R-004 وR-012؛ سياسة الأمن المادي</t>
        </is>
      </c>
      <c r="H62" s="7" t="inlineStr">
        <is>
          <t>مدير أمن المعلومات بالتنسيق مع مالك العملية</t>
        </is>
      </c>
    </row>
    <row r="63">
      <c r="A63" s="4" t="inlineStr">
        <is>
          <t>A.7.14</t>
        </is>
      </c>
      <c r="B63" s="4" t="inlineStr">
        <is>
          <t>التخلص الآمن أو إعادة الاستخدام</t>
        </is>
      </c>
      <c r="C63" s="8" t="inlineStr">
        <is>
          <t>نعم</t>
        </is>
      </c>
      <c r="D63" s="12" t="inlineStr">
        <is>
          <t>غير مكتمل</t>
        </is>
      </c>
      <c r="E63" s="4" t="inlineStr">
        <is>
          <t>تحتوي الأجهزة والوسائط على بيانات شخصية ومالية.</t>
        </is>
      </c>
      <c r="F63" s="4" t="inlineStr">
        <is>
          <t>مسح آمن وشهادة إتلاف قبل التخلص.</t>
        </is>
      </c>
      <c r="G63" s="4" t="inlineStr">
        <is>
          <t>R-004 وR-012؛ سياسة الأمن المادي</t>
        </is>
      </c>
      <c r="H63" s="4" t="inlineStr">
        <is>
          <t>مدير أمن المعلومات بالتنسيق مع مالك العملية</t>
        </is>
      </c>
    </row>
    <row r="64">
      <c r="A64" s="7" t="inlineStr">
        <is>
          <t>A.8.1</t>
        </is>
      </c>
      <c r="B64" s="7" t="inlineStr">
        <is>
          <t>أجهزة المستخدم النهائي</t>
        </is>
      </c>
      <c r="C64" s="10" t="inlineStr">
        <is>
          <t>نعم</t>
        </is>
      </c>
      <c r="D64" s="11" t="inlineStr">
        <is>
          <t>مطبق جزئياً</t>
        </is>
      </c>
      <c r="E64" s="7" t="inlineStr">
        <is>
          <t>يمتلك البنك آلاف الأجهزة المحمولة والمكتبية والهواتف والأجهزة اللوحية.</t>
        </is>
      </c>
      <c r="F64" s="7" t="inlineStr">
        <is>
          <t>تشفير وإدارة مركزية ومراقبة الامتثال.</t>
        </is>
      </c>
      <c r="G64" s="7" t="inlineStr">
        <is>
          <t>R-001 وR-002 وR-004 وR-007 وR-009 وR-011؛ إجراءات تقنية</t>
        </is>
      </c>
      <c r="H64" s="7" t="inlineStr">
        <is>
          <t>مدير أمن المعلومات بالتنسيق مع مالك العملية</t>
        </is>
      </c>
    </row>
    <row r="65">
      <c r="A65" s="4" t="inlineStr">
        <is>
          <t>A.8.2</t>
        </is>
      </c>
      <c r="B65" s="4" t="inlineStr">
        <is>
          <t>حقوق الوصول المميزة</t>
        </is>
      </c>
      <c r="C65" s="8" t="inlineStr">
        <is>
          <t>نعم</t>
        </is>
      </c>
      <c r="D65" s="12" t="inlineStr">
        <is>
          <t>غير مكتمل</t>
        </is>
      </c>
      <c r="E65" s="4" t="inlineStr">
        <is>
          <t>إدارة كلمات مرور المسؤولين يدوياً خطر معروف في السيناريو.</t>
        </is>
      </c>
      <c r="F65" s="4" t="inlineStr">
        <is>
          <t>ينفذ PAM ومراجعة وتسجيل الجلسات.</t>
        </is>
      </c>
      <c r="G65" s="4" t="inlineStr">
        <is>
          <t>R-006؛ سياسة الوصول ومراجعة الصلاحيات</t>
        </is>
      </c>
      <c r="H65" s="4" t="inlineStr">
        <is>
          <t>مدير أمن المعلومات بالتنسيق مع مالك العملية</t>
        </is>
      </c>
    </row>
    <row r="66">
      <c r="A66" s="7" t="inlineStr">
        <is>
          <t>A.8.3</t>
        </is>
      </c>
      <c r="B66" s="7" t="inlineStr">
        <is>
          <t>تقييد الوصول إلى المعلومات</t>
        </is>
      </c>
      <c r="C66" s="10" t="inlineStr">
        <is>
          <t>نعم</t>
        </is>
      </c>
      <c r="D66" s="11" t="inlineStr">
        <is>
          <t>مطبق جزئياً</t>
        </is>
      </c>
      <c r="E66" s="7" t="inlineStr">
        <is>
          <t>توجد بيانات موظفين وعملاء وصلاحيات موروثة.</t>
        </is>
      </c>
      <c r="F66" s="7" t="inlineStr">
        <is>
          <t>تطبيق RBAC ومراجعات دورية.</t>
        </is>
      </c>
      <c r="G66" s="7" t="inlineStr">
        <is>
          <t>R-006؛ سياسة الوصول ومراجعة الصلاحيات</t>
        </is>
      </c>
      <c r="H66" s="7" t="inlineStr">
        <is>
          <t>مدير أمن المعلومات بالتنسيق مع مالك العملية</t>
        </is>
      </c>
    </row>
    <row r="67">
      <c r="A67" s="4" t="inlineStr">
        <is>
          <t>A.8.4</t>
        </is>
      </c>
      <c r="B67" s="4" t="inlineStr">
        <is>
          <t>الوصول إلى الشيفرة المصدرية</t>
        </is>
      </c>
      <c r="C67" s="8" t="inlineStr">
        <is>
          <t>نعم</t>
        </is>
      </c>
      <c r="D67" s="11" t="inlineStr">
        <is>
          <t>مطبق جزئياً</t>
        </is>
      </c>
      <c r="E67" s="4" t="inlineStr">
        <is>
          <t>توجد منصة GitLab وكود تطبيق آفاق بلس.</t>
        </is>
      </c>
      <c r="F67" s="4" t="inlineStr">
        <is>
          <t>مستودعات مقيدة ومراجعات وتسجيل وصول.</t>
        </is>
      </c>
      <c r="G67" s="4" t="inlineStr">
        <is>
          <t>R-001 وR-002 وR-004 وR-007 وR-009 وR-011؛ إجراءات تقنية</t>
        </is>
      </c>
      <c r="H67" s="4" t="inlineStr">
        <is>
          <t>مدير أمن المعلومات بالتنسيق مع مالك العملية</t>
        </is>
      </c>
    </row>
    <row r="68">
      <c r="A68" s="7" t="inlineStr">
        <is>
          <t>A.8.5</t>
        </is>
      </c>
      <c r="B68" s="7" t="inlineStr">
        <is>
          <t>المصادقة الآمنة</t>
        </is>
      </c>
      <c r="C68" s="10" t="inlineStr">
        <is>
          <t>نعم</t>
        </is>
      </c>
      <c r="D68" s="11" t="inlineStr">
        <is>
          <t>مطبق جزئياً</t>
        </is>
      </c>
      <c r="E68" s="7" t="inlineStr">
        <is>
          <t>يستخدم RSA SecurID لبعض الأنظمة الحساسة.</t>
        </is>
      </c>
      <c r="F68" s="7" t="inlineStr">
        <is>
          <t>توسيع MFA وإدارة أسرار المصادقة.</t>
        </is>
      </c>
      <c r="G68" s="7" t="inlineStr">
        <is>
          <t>R-001 وR-002 وR-004 وR-007 وR-009 وR-011؛ إجراءات تقنية</t>
        </is>
      </c>
      <c r="H68" s="7" t="inlineStr">
        <is>
          <t>مدير أمن المعلومات بالتنسيق مع مالك العملية</t>
        </is>
      </c>
    </row>
    <row r="69">
      <c r="A69" s="4" t="inlineStr">
        <is>
          <t>A.8.6</t>
        </is>
      </c>
      <c r="B69" s="4" t="inlineStr">
        <is>
          <t>إدارة السعة</t>
        </is>
      </c>
      <c r="C69" s="8" t="inlineStr">
        <is>
          <t>نعم</t>
        </is>
      </c>
      <c r="D69" s="11" t="inlineStr">
        <is>
          <t>مطبق جزئياً</t>
        </is>
      </c>
      <c r="E69" s="4" t="inlineStr">
        <is>
          <t>تؤثر أحجام الاستخدام وفترات الرواتب في الخدمات الرقمية.</t>
        </is>
      </c>
      <c r="F69" s="4" t="inlineStr">
        <is>
          <t>مراقبة السعة واختبارات الضغط وخطط التوسع.</t>
        </is>
      </c>
      <c r="G69" s="4" t="inlineStr">
        <is>
          <t>R-001 وR-002 وR-004 وR-007 وR-009 وR-011؛ إجراءات تقنية</t>
        </is>
      </c>
      <c r="H69" s="4" t="inlineStr">
        <is>
          <t>مدير أمن المعلومات بالتنسيق مع مالك العملية</t>
        </is>
      </c>
    </row>
    <row r="70">
      <c r="A70" s="7" t="inlineStr">
        <is>
          <t>A.8.7</t>
        </is>
      </c>
      <c r="B70" s="7" t="inlineStr">
        <is>
          <t>الحماية من البرمجيات الخبيثة</t>
        </is>
      </c>
      <c r="C70" s="10" t="inlineStr">
        <is>
          <t>نعم</t>
        </is>
      </c>
      <c r="D70" s="11" t="inlineStr">
        <is>
          <t>مطبق جزئياً</t>
        </is>
      </c>
      <c r="E70" s="7" t="inlineStr">
        <is>
          <t>يستخدم البنك Trend Micro وبوابة بريد آمن.</t>
        </is>
      </c>
      <c r="F70" s="7" t="inlineStr">
        <is>
          <t>تحسين التغطية والتحديث والاستجابة.</t>
        </is>
      </c>
      <c r="G70" s="7" t="inlineStr">
        <is>
          <t>R-001 وR-002 وR-004 وR-007 وR-009 وR-011؛ إجراءات تقنية</t>
        </is>
      </c>
      <c r="H70" s="7" t="inlineStr">
        <is>
          <t>مدير أمن المعلومات بالتنسيق مع مالك العملية</t>
        </is>
      </c>
    </row>
    <row r="71">
      <c r="A71" s="4" t="inlineStr">
        <is>
          <t>A.8.8</t>
        </is>
      </c>
      <c r="B71" s="4" t="inlineStr">
        <is>
          <t>إدارة الثغرات التقنية</t>
        </is>
      </c>
      <c r="C71" s="8" t="inlineStr">
        <is>
          <t>نعم</t>
        </is>
      </c>
      <c r="D71" s="12" t="inlineStr">
        <is>
          <t>غير مكتمل</t>
        </is>
      </c>
      <c r="E71" s="4" t="inlineStr">
        <is>
          <t>أظهر الفحص 3 ثغرات عالية و7 متوسطة لم تعالج بالكامل.</t>
        </is>
      </c>
      <c r="F71" s="4" t="inlineStr">
        <is>
          <t>سجل ثغرات وأولوية ومدد إغلاق واختبار تحقق.</t>
        </is>
      </c>
      <c r="G71" s="4" t="inlineStr">
        <is>
          <t>R-001 وR-002 وR-004 وR-005 وR-007 وR-008؛ إجراءات تقنية</t>
        </is>
      </c>
      <c r="H71" s="4" t="inlineStr">
        <is>
          <t>مدير أمن المعلومات بالتنسيق مع مالك العملية</t>
        </is>
      </c>
    </row>
    <row r="72">
      <c r="A72" s="7" t="inlineStr">
        <is>
          <t>A.8.9</t>
        </is>
      </c>
      <c r="B72" s="7" t="inlineStr">
        <is>
          <t>إدارة الإعدادات</t>
        </is>
      </c>
      <c r="C72" s="10" t="inlineStr">
        <is>
          <t>نعم</t>
        </is>
      </c>
      <c r="D72" s="12" t="inlineStr">
        <is>
          <t>غير مكتمل</t>
        </is>
      </c>
      <c r="E72" s="7" t="inlineStr">
        <is>
          <t>وقع انقطاع بسبب حذف قاعدة من الجدار الناري.</t>
        </is>
      </c>
      <c r="F72" s="7" t="inlineStr">
        <is>
          <t>خط أساس آمن ومراجعة ثنائية ونسخ واسترجاع.</t>
        </is>
      </c>
      <c r="G72" s="7" t="inlineStr">
        <is>
          <t>R-001 وR-002 وR-004 وR-005 وR-007 وR-008؛ إجراءات تقنية</t>
        </is>
      </c>
      <c r="H72" s="7" t="inlineStr">
        <is>
          <t>مدير أمن المعلومات بالتنسيق مع مالك العملية</t>
        </is>
      </c>
    </row>
    <row r="73">
      <c r="A73" s="4" t="inlineStr">
        <is>
          <t>A.8.10</t>
        </is>
      </c>
      <c r="B73" s="4" t="inlineStr">
        <is>
          <t>حذف المعلومات</t>
        </is>
      </c>
      <c r="C73" s="8" t="inlineStr">
        <is>
          <t>نعم</t>
        </is>
      </c>
      <c r="D73" s="12" t="inlineStr">
        <is>
          <t>غير مكتمل</t>
        </is>
      </c>
      <c r="E73" s="4" t="inlineStr">
        <is>
          <t>توجد بيانات محلية ونسخ احتياطية وأنظمة قديمة.</t>
        </is>
      </c>
      <c r="F73" s="4" t="inlineStr">
        <is>
          <t>قواعد حذف مرتبطة بالاحتفاظ والخصوصية.</t>
        </is>
      </c>
      <c r="G73" s="4" t="inlineStr">
        <is>
          <t>R-001 وR-002 وR-004 وR-007 وR-009 وR-011؛ إجراءات تقنية</t>
        </is>
      </c>
      <c r="H73" s="4" t="inlineStr">
        <is>
          <t>مدير أمن المعلومات بالتنسيق مع مالك العملية</t>
        </is>
      </c>
    </row>
    <row r="74">
      <c r="A74" s="7" t="inlineStr">
        <is>
          <t>A.8.11</t>
        </is>
      </c>
      <c r="B74" s="7" t="inlineStr">
        <is>
          <t>إخفاء البيانات</t>
        </is>
      </c>
      <c r="C74" s="10" t="inlineStr">
        <is>
          <t>نعم</t>
        </is>
      </c>
      <c r="D74" s="12" t="inlineStr">
        <is>
          <t>غير مكتمل</t>
        </is>
      </c>
      <c r="E74" s="7" t="inlineStr">
        <is>
          <t>يجب منع استخدام بيانات حقيقية في الاختبار.</t>
        </is>
      </c>
      <c r="F74" s="7" t="inlineStr">
        <is>
          <t>إخفاء أو توليد بيانات اختبار غير حقيقية.</t>
        </is>
      </c>
      <c r="G74" s="7" t="inlineStr">
        <is>
          <t>R-001 وR-002 وR-004 وR-007 وR-009 وR-011؛ إجراءات تقنية</t>
        </is>
      </c>
      <c r="H74" s="7" t="inlineStr">
        <is>
          <t>مدير أمن المعلومات بالتنسيق مع مالك العملية</t>
        </is>
      </c>
    </row>
    <row r="75">
      <c r="A75" s="4" t="inlineStr">
        <is>
          <t>A.8.12</t>
        </is>
      </c>
      <c r="B75" s="4" t="inlineStr">
        <is>
          <t>منع تسرب البيانات</t>
        </is>
      </c>
      <c r="C75" s="8" t="inlineStr">
        <is>
          <t>نعم</t>
        </is>
      </c>
      <c r="D75" s="12" t="inlineStr">
        <is>
          <t>غير مكتمل</t>
        </is>
      </c>
      <c r="E75" s="4" t="inlineStr">
        <is>
          <t>حساسية بيانات العملاء والبريد والأجهزة تتطلب كشف التسرب.</t>
        </is>
      </c>
      <c r="F75" s="4" t="inlineStr">
        <is>
          <t>تصنيف ومراقبة وقواعد DLP تدريجية.</t>
        </is>
      </c>
      <c r="G75" s="4" t="inlineStr">
        <is>
          <t>R-001 وR-002 وR-004 وR-007 وR-009 وR-011؛ إجراءات تقنية</t>
        </is>
      </c>
      <c r="H75" s="4" t="inlineStr">
        <is>
          <t>مدير أمن المعلومات بالتنسيق مع مالك العملية</t>
        </is>
      </c>
    </row>
    <row r="76">
      <c r="A76" s="7" t="inlineStr">
        <is>
          <t>A.8.13</t>
        </is>
      </c>
      <c r="B76" s="7" t="inlineStr">
        <is>
          <t>النسخ الاحتياطي للمعلومات</t>
        </is>
      </c>
      <c r="C76" s="10" t="inlineStr">
        <is>
          <t>نعم</t>
        </is>
      </c>
      <c r="D76" s="11" t="inlineStr">
        <is>
          <t>مطبق جزئياً</t>
        </is>
      </c>
      <c r="E76" s="7" t="inlineStr">
        <is>
          <t>يوجد Veritas NetBackup ومكتبة أشرطة ومركز تعافٍ.</t>
        </is>
      </c>
      <c r="F76" s="7" t="inlineStr">
        <is>
          <t>تختبر الاستعادة وتحمى النسخ من الفدية.</t>
        </is>
      </c>
      <c r="G76" s="7" t="inlineStr">
        <is>
          <t>R-002 وR-007 وR-008 وR-012؛ خطة BCP/DR</t>
        </is>
      </c>
      <c r="H76" s="7" t="inlineStr">
        <is>
          <t>مدير أمن المعلومات بالتنسيق مع مالك العملية</t>
        </is>
      </c>
    </row>
    <row r="77">
      <c r="A77" s="4" t="inlineStr">
        <is>
          <t>A.8.14</t>
        </is>
      </c>
      <c r="B77" s="4" t="inlineStr">
        <is>
          <t>تكرار مرافق معالجة المعلومات</t>
        </is>
      </c>
      <c r="C77" s="8" t="inlineStr">
        <is>
          <t>نعم</t>
        </is>
      </c>
      <c r="D77" s="11" t="inlineStr">
        <is>
          <t>مطبق جزئياً</t>
        </is>
      </c>
      <c r="E77" s="4" t="inlineStr">
        <is>
          <t>يوجد مركز تعافٍ في جدة وروابط مزدوجة.</t>
        </is>
      </c>
      <c r="F77" s="4" t="inlineStr">
        <is>
          <t>تختبر التحويل وتراجع RTO/RPO.</t>
        </is>
      </c>
      <c r="G77" s="4" t="inlineStr">
        <is>
          <t>R-002 وR-007 وR-008 وR-012؛ خطة BCP/DR</t>
        </is>
      </c>
      <c r="H77" s="4" t="inlineStr">
        <is>
          <t>مدير أمن المعلومات بالتنسيق مع مالك العملية</t>
        </is>
      </c>
    </row>
    <row r="78">
      <c r="A78" s="7" t="inlineStr">
        <is>
          <t>A.8.15</t>
        </is>
      </c>
      <c r="B78" s="7" t="inlineStr">
        <is>
          <t>التسجيل</t>
        </is>
      </c>
      <c r="C78" s="10" t="inlineStr">
        <is>
          <t>نعم</t>
        </is>
      </c>
      <c r="D78" s="11" t="inlineStr">
        <is>
          <t>مطبق جزئياً</t>
        </is>
      </c>
      <c r="E78" s="7" t="inlineStr">
        <is>
          <t>يوجد Syslog لكن التحليل اليدوي ولا يوجد SIEM.</t>
        </is>
      </c>
      <c r="F78" s="7" t="inlineStr">
        <is>
          <t>توحيد السجلات وحماية الاحتفاظ والتحليل.</t>
        </is>
      </c>
      <c r="G78" s="7" t="inlineStr">
        <is>
          <t>R-001 وR-002 وR-004 وR-007 وR-009 وR-011؛ إجراءات تقنية</t>
        </is>
      </c>
      <c r="H78" s="7" t="inlineStr">
        <is>
          <t>مدير أمن المعلومات بالتنسيق مع مالك العملية</t>
        </is>
      </c>
    </row>
    <row r="79">
      <c r="A79" s="4" t="inlineStr">
        <is>
          <t>A.8.16</t>
        </is>
      </c>
      <c r="B79" s="4" t="inlineStr">
        <is>
          <t>أنشطة المراقبة</t>
        </is>
      </c>
      <c r="C79" s="8" t="inlineStr">
        <is>
          <t>نعم</t>
        </is>
      </c>
      <c r="D79" s="12" t="inlineStr">
        <is>
          <t>غير مكتمل</t>
        </is>
      </c>
      <c r="E79" s="4" t="inlineStr">
        <is>
          <t>تأخر اكتشاف بعض الحوادث وضعف مراقبة الأداء.</t>
        </is>
      </c>
      <c r="F79" s="4" t="inlineStr">
        <is>
          <t>مراقبة مركزية وتنبيهات ومؤشرات.</t>
        </is>
      </c>
      <c r="G79" s="4" t="inlineStr">
        <is>
          <t>R-001 وR-002 وR-004 وR-007 وR-009 وR-011؛ إجراءات تقنية</t>
        </is>
      </c>
      <c r="H79" s="4" t="inlineStr">
        <is>
          <t>مدير أمن المعلومات بالتنسيق مع مالك العملية</t>
        </is>
      </c>
    </row>
    <row r="80">
      <c r="A80" s="7" t="inlineStr">
        <is>
          <t>A.8.17</t>
        </is>
      </c>
      <c r="B80" s="7" t="inlineStr">
        <is>
          <t>مزامنة الساعات</t>
        </is>
      </c>
      <c r="C80" s="10" t="inlineStr">
        <is>
          <t>نعم</t>
        </is>
      </c>
      <c r="D80" s="11" t="inlineStr">
        <is>
          <t>مطبق جزئياً</t>
        </is>
      </c>
      <c r="E80" s="7" t="inlineStr">
        <is>
          <t>دقة السجلات والتحقيقات تتطلب وقتاً موحداً.</t>
        </is>
      </c>
      <c r="F80" s="7" t="inlineStr">
        <is>
          <t>مصادر زمن موثوقة ومراجعة الانحراف.</t>
        </is>
      </c>
      <c r="G80" s="7" t="inlineStr">
        <is>
          <t>R-001 وR-002 وR-004 وR-007 وR-009 وR-011؛ إجراءات تقنية</t>
        </is>
      </c>
      <c r="H80" s="7" t="inlineStr">
        <is>
          <t>مدير أمن المعلومات بالتنسيق مع مالك العملية</t>
        </is>
      </c>
    </row>
    <row r="81">
      <c r="A81" s="4" t="inlineStr">
        <is>
          <t>A.8.18</t>
        </is>
      </c>
      <c r="B81" s="4" t="inlineStr">
        <is>
          <t>استخدام برامج الأدوات المميزة</t>
        </is>
      </c>
      <c r="C81" s="8" t="inlineStr">
        <is>
          <t>نعم</t>
        </is>
      </c>
      <c r="D81" s="12" t="inlineStr">
        <is>
          <t>غير مكتمل</t>
        </is>
      </c>
      <c r="E81" s="4" t="inlineStr">
        <is>
          <t>الأدوات المميزة قد تغير إعدادات الأنظمة الحساسة.</t>
        </is>
      </c>
      <c r="F81" s="4" t="inlineStr">
        <is>
          <t>تقييد وتسجيل واعتماد الاستخدام.</t>
        </is>
      </c>
      <c r="G81" s="4" t="inlineStr">
        <is>
          <t>R-001 وR-002 وR-004 وR-007 وR-009 وR-011؛ إجراءات تقنية</t>
        </is>
      </c>
      <c r="H81" s="4" t="inlineStr">
        <is>
          <t>مدير أمن المعلومات بالتنسيق مع مالك العملية</t>
        </is>
      </c>
    </row>
    <row r="82">
      <c r="A82" s="7" t="inlineStr">
        <is>
          <t>A.8.19</t>
        </is>
      </c>
      <c r="B82" s="7" t="inlineStr">
        <is>
          <t>تثبيت البرمجيات على الأنظمة التشغيلية</t>
        </is>
      </c>
      <c r="C82" s="10" t="inlineStr">
        <is>
          <t>نعم</t>
        </is>
      </c>
      <c r="D82" s="11" t="inlineStr">
        <is>
          <t>مطبق جزئياً</t>
        </is>
      </c>
      <c r="E82" s="7" t="inlineStr">
        <is>
          <t>تعدد الخوادم والأجهزة يتطلب ضبط التثبيت.</t>
        </is>
      </c>
      <c r="F82" s="7" t="inlineStr">
        <is>
          <t>قائمة سماح وإدارة تغيير واختبار.</t>
        </is>
      </c>
      <c r="G82" s="7" t="inlineStr">
        <is>
          <t>R-001 وR-002 وR-004 وR-007 وR-009 وR-011؛ إجراءات تقنية</t>
        </is>
      </c>
      <c r="H82" s="7" t="inlineStr">
        <is>
          <t>مدير أمن المعلومات بالتنسيق مع مالك العملية</t>
        </is>
      </c>
    </row>
    <row r="83">
      <c r="A83" s="4" t="inlineStr">
        <is>
          <t>A.8.20</t>
        </is>
      </c>
      <c r="B83" s="4" t="inlineStr">
        <is>
          <t>أمن الشبكات</t>
        </is>
      </c>
      <c r="C83" s="8" t="inlineStr">
        <is>
          <t>نعم</t>
        </is>
      </c>
      <c r="D83" s="11" t="inlineStr">
        <is>
          <t>مطبق جزئياً</t>
        </is>
      </c>
      <c r="E83" s="4" t="inlineStr">
        <is>
          <t>تعتمد الخدمات على Cisco وFortinet وIPS/IDS وروابط مؤمنة.</t>
        </is>
      </c>
      <c r="F83" s="4" t="inlineStr">
        <is>
          <t>تقوية الإعدادات ومراجعة القواعد والمراقبة.</t>
        </is>
      </c>
      <c r="G83" s="4" t="inlineStr">
        <is>
          <t>R-001 وR-002 وR-004 وR-007 وR-009 وR-011؛ إجراءات تقنية</t>
        </is>
      </c>
      <c r="H83" s="4" t="inlineStr">
        <is>
          <t>مدير أمن المعلومات بالتنسيق مع مالك العملية</t>
        </is>
      </c>
    </row>
    <row r="84">
      <c r="A84" s="7" t="inlineStr">
        <is>
          <t>A.8.21</t>
        </is>
      </c>
      <c r="B84" s="7" t="inlineStr">
        <is>
          <t>أمن خدمات الشبكة</t>
        </is>
      </c>
      <c r="C84" s="10" t="inlineStr">
        <is>
          <t>نعم</t>
        </is>
      </c>
      <c r="D84" s="11" t="inlineStr">
        <is>
          <t>مطبق جزئياً</t>
        </is>
      </c>
      <c r="E84" s="7" t="inlineStr">
        <is>
          <t>تقدم الاتصالات والإنترنت وشبكة المدفوعات خدمات حرجة.</t>
        </is>
      </c>
      <c r="F84" s="7" t="inlineStr">
        <is>
          <t>اتفاقيات مستوى خدمة وضمانات أمنية ومراقبة.</t>
        </is>
      </c>
      <c r="G84" s="7" t="inlineStr">
        <is>
          <t>R-001 وR-002 وR-004 وR-007 وR-009 وR-011؛ إجراءات تقنية</t>
        </is>
      </c>
      <c r="H84" s="7" t="inlineStr">
        <is>
          <t>مدير أمن المعلومات بالتنسيق مع مالك العملية</t>
        </is>
      </c>
    </row>
    <row r="85">
      <c r="A85" s="4" t="inlineStr">
        <is>
          <t>A.8.22</t>
        </is>
      </c>
      <c r="B85" s="4" t="inlineStr">
        <is>
          <t>فصل الشبكات</t>
        </is>
      </c>
      <c r="C85" s="8" t="inlineStr">
        <is>
          <t>نعم</t>
        </is>
      </c>
      <c r="D85" s="11" t="inlineStr">
        <is>
          <t>مطبق جزئياً</t>
        </is>
      </c>
      <c r="E85" s="4" t="inlineStr">
        <is>
          <t>تحتاج الإنتاج والتطوير والاختبار والشبكات الحساسة إلى فصل.</t>
        </is>
      </c>
      <c r="F85" s="4" t="inlineStr">
        <is>
          <t>قواعد تقسيم واختبار منع العبور.</t>
        </is>
      </c>
      <c r="G85" s="4" t="inlineStr">
        <is>
          <t>R-001 وR-002 وR-004 وR-007 وR-009 وR-011؛ إجراءات تقنية</t>
        </is>
      </c>
      <c r="H85" s="4" t="inlineStr">
        <is>
          <t>مدير أمن المعلومات بالتنسيق مع مالك العملية</t>
        </is>
      </c>
    </row>
    <row r="86">
      <c r="A86" s="7" t="inlineStr">
        <is>
          <t>A.8.23</t>
        </is>
      </c>
      <c r="B86" s="7" t="inlineStr">
        <is>
          <t>ترشيح الويب</t>
        </is>
      </c>
      <c r="C86" s="10" t="inlineStr">
        <is>
          <t>نعم</t>
        </is>
      </c>
      <c r="D86" s="11" t="inlineStr">
        <is>
          <t>مطبق جزئياً</t>
        </is>
      </c>
      <c r="E86" s="7" t="inlineStr">
        <is>
          <t>التصيد والبرمجيات الخبيثة تهديدان معروفان.</t>
        </is>
      </c>
      <c r="F86" s="7" t="inlineStr">
        <is>
          <t>تحديث التصنيف والحظر والتسجيل.</t>
        </is>
      </c>
      <c r="G86" s="7" t="inlineStr">
        <is>
          <t>R-001 وR-002 وR-004 وR-007 وR-009 وR-011؛ إجراءات تقنية</t>
        </is>
      </c>
      <c r="H86" s="7" t="inlineStr">
        <is>
          <t>مدير أمن المعلومات بالتنسيق مع مالك العملية</t>
        </is>
      </c>
    </row>
    <row r="87">
      <c r="A87" s="4" t="inlineStr">
        <is>
          <t>A.8.24</t>
        </is>
      </c>
      <c r="B87" s="4" t="inlineStr">
        <is>
          <t>استخدام التشفير</t>
        </is>
      </c>
      <c r="C87" s="8" t="inlineStr">
        <is>
          <t>نعم</t>
        </is>
      </c>
      <c r="D87" s="12" t="inlineStr">
        <is>
          <t>غير مكتمل</t>
        </is>
      </c>
      <c r="E87" s="4" t="inlineStr">
        <is>
          <t>حادثة فقدان حاسب غير مشفر كشفت فجوة واضحة.</t>
        </is>
      </c>
      <c r="F87" s="4" t="inlineStr">
        <is>
          <t>تشفير الأجهزة والاتصالات والمفاتيح.</t>
        </is>
      </c>
      <c r="G87" s="4" t="inlineStr">
        <is>
          <t>R-001 وR-002 وR-004 وR-005 وR-007 وR-008؛ إجراءات تقنية</t>
        </is>
      </c>
      <c r="H87" s="4" t="inlineStr">
        <is>
          <t>مدير أمن المعلومات بالتنسيق مع مالك العملية</t>
        </is>
      </c>
    </row>
    <row r="88">
      <c r="A88" s="7" t="inlineStr">
        <is>
          <t>A.8.25</t>
        </is>
      </c>
      <c r="B88" s="7" t="inlineStr">
        <is>
          <t>دورة حياة التطوير الآمن</t>
        </is>
      </c>
      <c r="C88" s="10" t="inlineStr">
        <is>
          <t>نعم</t>
        </is>
      </c>
      <c r="D88" s="12" t="inlineStr">
        <is>
          <t>غير مكتمل</t>
        </is>
      </c>
      <c r="E88" s="7" t="inlineStr">
        <is>
          <t>تطوير آفاق بلس يحتاج دمج الأمن منذ المتطلبات.</t>
        </is>
      </c>
      <c r="F88" s="7" t="inlineStr">
        <is>
          <t>بوابات أمنية واختبارات ومراجعة اعتماديات.</t>
        </is>
      </c>
      <c r="G88" s="7" t="inlineStr">
        <is>
          <t>R-001 وR-002 وR-004 وR-007 وR-009 وR-011؛ إجراءات تقنية</t>
        </is>
      </c>
      <c r="H88" s="7" t="inlineStr">
        <is>
          <t>مدير أمن المعلومات بالتنسيق مع مالك العملية</t>
        </is>
      </c>
    </row>
    <row r="89">
      <c r="A89" s="4" t="inlineStr">
        <is>
          <t>A.8.26</t>
        </is>
      </c>
      <c r="B89" s="4" t="inlineStr">
        <is>
          <t>متطلبات أمن التطبيقات</t>
        </is>
      </c>
      <c r="C89" s="8" t="inlineStr">
        <is>
          <t>نعم</t>
        </is>
      </c>
      <c r="D89" s="11" t="inlineStr">
        <is>
          <t>مطبق جزئياً</t>
        </is>
      </c>
      <c r="E89" s="4" t="inlineStr">
        <is>
          <t>التطبيقات تعالج معاملات وبيانات عالية الحساسية.</t>
        </is>
      </c>
      <c r="F89" s="4" t="inlineStr">
        <is>
          <t>توثيق متطلبات المصادقة والتسجيل والخصوصية.</t>
        </is>
      </c>
      <c r="G89" s="4" t="inlineStr">
        <is>
          <t>R-001 وR-002 وR-004 وR-007 وR-009 وR-011؛ إجراءات تقنية</t>
        </is>
      </c>
      <c r="H89" s="4" t="inlineStr">
        <is>
          <t>مدير أمن المعلومات بالتنسيق مع مالك العملية</t>
        </is>
      </c>
    </row>
    <row r="90">
      <c r="A90" s="7" t="inlineStr">
        <is>
          <t>A.8.27</t>
        </is>
      </c>
      <c r="B90" s="7" t="inlineStr">
        <is>
          <t>مبادئ هندسة الأنظمة الآمنة</t>
        </is>
      </c>
      <c r="C90" s="10" t="inlineStr">
        <is>
          <t>نعم</t>
        </is>
      </c>
      <c r="D90" s="11" t="inlineStr">
        <is>
          <t>مطبق جزئياً</t>
        </is>
      </c>
      <c r="E90" s="7" t="inlineStr">
        <is>
          <t>تعتمد الخدمات على بنية متعددة المواقع والأنظمة والواجهات.</t>
        </is>
      </c>
      <c r="F90" s="7" t="inlineStr">
        <is>
          <t>مراجعة معمارية وفصل ثقة وتكرار.</t>
        </is>
      </c>
      <c r="G90" s="7" t="inlineStr">
        <is>
          <t>R-001 وR-002 وR-004 وR-007 وR-009 وR-011؛ إجراءات تقنية</t>
        </is>
      </c>
      <c r="H90" s="7" t="inlineStr">
        <is>
          <t>مدير أمن المعلومات بالتنسيق مع مالك العملية</t>
        </is>
      </c>
    </row>
    <row r="91">
      <c r="A91" s="4" t="inlineStr">
        <is>
          <t>A.8.28</t>
        </is>
      </c>
      <c r="B91" s="4" t="inlineStr">
        <is>
          <t>البرمجة الآمنة</t>
        </is>
      </c>
      <c r="C91" s="8" t="inlineStr">
        <is>
          <t>نعم</t>
        </is>
      </c>
      <c r="D91" s="12" t="inlineStr">
        <is>
          <t>غير مكتمل</t>
        </is>
      </c>
      <c r="E91" s="4" t="inlineStr">
        <is>
          <t>ظهرت ثغرات إدخال في تطبيق آفاق بلس.</t>
        </is>
      </c>
      <c r="F91" s="4" t="inlineStr">
        <is>
          <t>معايير كود ومراجعة وفحص آلي.</t>
        </is>
      </c>
      <c r="G91" s="4" t="inlineStr">
        <is>
          <t>R-001 وR-002 وR-004 وR-007 وR-009 وR-011؛ إجراءات تقنية</t>
        </is>
      </c>
      <c r="H91" s="4" t="inlineStr">
        <is>
          <t>مدير أمن المعلومات بالتنسيق مع مالك العملية</t>
        </is>
      </c>
    </row>
    <row r="92">
      <c r="A92" s="7" t="inlineStr">
        <is>
          <t>A.8.29</t>
        </is>
      </c>
      <c r="B92" s="7" t="inlineStr">
        <is>
          <t>اختبارات الأمن في التطوير والقبول</t>
        </is>
      </c>
      <c r="C92" s="10" t="inlineStr">
        <is>
          <t>نعم</t>
        </is>
      </c>
      <c r="D92" s="11" t="inlineStr">
        <is>
          <t>مطبق جزئياً</t>
        </is>
      </c>
      <c r="E92" s="7" t="inlineStr">
        <is>
          <t>تنفذ فحوص ثغرات لكن توجد نتائج مفتوحة.</t>
        </is>
      </c>
      <c r="F92" s="7" t="inlineStr">
        <is>
          <t>اختبار قبل الإنتاج وتتبع إغلاق.</t>
        </is>
      </c>
      <c r="G92" s="7" t="inlineStr">
        <is>
          <t>R-001 وR-002 وR-004 وR-007 وR-009 وR-011؛ إجراءات تقنية</t>
        </is>
      </c>
      <c r="H92" s="7" t="inlineStr">
        <is>
          <t>مدير أمن المعلومات بالتنسيق مع مالك العملية</t>
        </is>
      </c>
    </row>
    <row r="93">
      <c r="A93" s="4" t="inlineStr">
        <is>
          <t>A.8.30</t>
        </is>
      </c>
      <c r="B93" s="4" t="inlineStr">
        <is>
          <t>التطوير الخارجي</t>
        </is>
      </c>
      <c r="C93" s="8" t="inlineStr">
        <is>
          <t>نعم</t>
        </is>
      </c>
      <c r="D93" s="11" t="inlineStr">
        <is>
          <t>مطبق جزئياً</t>
        </is>
      </c>
      <c r="E93" s="4" t="inlineStr">
        <is>
          <t>تشارك شركة خارجية في تطوير جزء من تطبيق الهاتف.</t>
        </is>
      </c>
      <c r="F93" s="4" t="inlineStr">
        <is>
          <t>عقود ومراجعة كود وبيئة آمنة وحقوق تدقيق.</t>
        </is>
      </c>
      <c r="G93" s="4" t="inlineStr">
        <is>
          <t>R-009 وR-010؛ إدارة الموردين</t>
        </is>
      </c>
      <c r="H93" s="4" t="inlineStr">
        <is>
          <t>مدير أمن المعلومات بالتنسيق مع مالك العملية</t>
        </is>
      </c>
    </row>
    <row r="94">
      <c r="A94" s="7" t="inlineStr">
        <is>
          <t>A.8.31</t>
        </is>
      </c>
      <c r="B94" s="7" t="inlineStr">
        <is>
          <t>فصل التطوير والاختبار والإنتاج</t>
        </is>
      </c>
      <c r="C94" s="10" t="inlineStr">
        <is>
          <t>نعم</t>
        </is>
      </c>
      <c r="D94" s="12" t="inlineStr">
        <is>
          <t>غير مكتمل</t>
        </is>
      </c>
      <c r="E94" s="7" t="inlineStr">
        <is>
          <t>توجد بيئات منفصلة لكن يجب منع استخدام بيانات حقيقية.</t>
        </is>
      </c>
      <c r="F94" s="7" t="inlineStr">
        <is>
          <t>ضوابط شبكة وحسابات ونشر معتمد.</t>
        </is>
      </c>
      <c r="G94" s="7" t="inlineStr">
        <is>
          <t>R-001 وR-002 وR-004 وR-007 وR-009 وR-011؛ إجراءات تقنية</t>
        </is>
      </c>
      <c r="H94" s="7" t="inlineStr">
        <is>
          <t>مدير أمن المعلومات بالتنسيق مع مالك العملية</t>
        </is>
      </c>
    </row>
    <row r="95">
      <c r="A95" s="4" t="inlineStr">
        <is>
          <t>A.8.32</t>
        </is>
      </c>
      <c r="B95" s="4" t="inlineStr">
        <is>
          <t>إدارة التغيير</t>
        </is>
      </c>
      <c r="C95" s="8" t="inlineStr">
        <is>
          <t>نعم</t>
        </is>
      </c>
      <c r="D95" s="12" t="inlineStr">
        <is>
          <t>غير مكتمل</t>
        </is>
      </c>
      <c r="E95" s="4" t="inlineStr">
        <is>
          <t>سبب تغيير غير مضبوط انقطاعاً لمدة ثلاث ساعات.</t>
        </is>
      </c>
      <c r="F95" s="4" t="inlineStr">
        <is>
          <t>مراجعة ثنائية واختبار وخطة تراجع.</t>
        </is>
      </c>
      <c r="G95" s="4" t="inlineStr">
        <is>
          <t>R-001 وR-002 وR-004 وR-005 وR-007 وR-008؛ إجراءات تقنية</t>
        </is>
      </c>
      <c r="H95" s="4" t="inlineStr">
        <is>
          <t>مدير أمن المعلومات بالتنسيق مع مالك العملية</t>
        </is>
      </c>
    </row>
    <row r="96">
      <c r="A96" s="7" t="inlineStr">
        <is>
          <t>A.8.33</t>
        </is>
      </c>
      <c r="B96" s="7" t="inlineStr">
        <is>
          <t>معلومات الاختبار</t>
        </is>
      </c>
      <c r="C96" s="10" t="inlineStr">
        <is>
          <t>نعم</t>
        </is>
      </c>
      <c r="D96" s="12" t="inlineStr">
        <is>
          <t>غير مكتمل</t>
        </is>
      </c>
      <c r="E96" s="7" t="inlineStr">
        <is>
          <t>توجد فجوة معروفة في استخدام البيانات الحقيقية للاختبار.</t>
        </is>
      </c>
      <c r="F96" s="7" t="inlineStr">
        <is>
          <t>إخفاء بيانات واعتماد استخدام استثنائي.</t>
        </is>
      </c>
      <c r="G96" s="7" t="inlineStr">
        <is>
          <t>R-001 وR-002 وR-004 وR-007 وR-009 وR-011؛ إجراءات تقنية</t>
        </is>
      </c>
      <c r="H96" s="7" t="inlineStr">
        <is>
          <t>مدير أمن المعلومات بالتنسيق مع مالك العملية</t>
        </is>
      </c>
    </row>
    <row r="97">
      <c r="A97" s="4" t="inlineStr">
        <is>
          <t>A.8.34</t>
        </is>
      </c>
      <c r="B97" s="4" t="inlineStr">
        <is>
          <t>حماية الأنظمة أثناء اختبارات التدقيق</t>
        </is>
      </c>
      <c r="C97" s="8" t="inlineStr">
        <is>
          <t>نعم</t>
        </is>
      </c>
      <c r="D97" s="11" t="inlineStr">
        <is>
          <t>مطبق جزئياً</t>
        </is>
      </c>
      <c r="E97" s="4" t="inlineStr">
        <is>
          <t>تحتاج أعمال التدقيق والاختبارات إلى منع التأثير على الإنتاج.</t>
        </is>
      </c>
      <c r="F97" s="4" t="inlineStr">
        <is>
          <t>نطاق اختبار وتصاريح ونسخ احتياطي ومراقبة.</t>
        </is>
      </c>
      <c r="G97" s="4" t="inlineStr">
        <is>
          <t>R-001 وR-002 وR-004 وR-007 وR-009 وR-011؛ إجراءات تقنية</t>
        </is>
      </c>
      <c r="H97" s="4" t="inlineStr">
        <is>
          <t>مدير أمن المعلومات بالتنسيق مع مالك العملية</t>
        </is>
      </c>
    </row>
  </sheetData>
  <mergeCells count="2">
    <mergeCell ref="A2:H2"/>
    <mergeCell ref="A1:H1"/>
  </mergeCells>
  <dataValidations count="2">
    <dataValidation sqref="C5:C97" showDropDown="0" showInputMessage="0" showErrorMessage="0" allowBlank="0" type="list">
      <formula1>"نعم,لا"</formula1>
    </dataValidation>
    <dataValidation sqref="D5:D97" showDropDown="0" showInputMessage="0" showErrorMessage="0" allowBlank="0" type="list">
      <formula1>"مطبق,مطبق جزئياً,غير مكتمل,مستبعد"</formula1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20" customWidth="1" min="7" max="7"/>
  </cols>
  <sheetData>
    <row r="1" ht="28" customHeight="1">
      <c r="A1" s="1" t="inlineStr">
        <is>
          <t>ملخص بيان قابلية التطبيق</t>
        </is>
      </c>
    </row>
    <row r="2" ht="32" customHeight="1">
      <c r="A2" s="2" t="inlineStr">
        <is>
          <t>ملخص عددي لحالة ضوابط Annex A، يستخدم في مراجعة الإدارة وتحديد أولويات خطة المعالجة.</t>
        </is>
      </c>
    </row>
    <row r="4" ht="38" customHeight="1">
      <c r="A4" s="3" t="inlineStr">
        <is>
          <t>المجال</t>
        </is>
      </c>
      <c r="B4" s="3" t="inlineStr">
        <is>
          <t>إجمالي الضوابط</t>
        </is>
      </c>
      <c r="C4" s="3" t="inlineStr">
        <is>
          <t>القابلة للتطبيق</t>
        </is>
      </c>
      <c r="D4" s="3" t="inlineStr">
        <is>
          <t>مطبقة</t>
        </is>
      </c>
      <c r="E4" s="3" t="inlineStr">
        <is>
          <t>مطبقة جزئياً</t>
        </is>
      </c>
      <c r="F4" s="3" t="inlineStr">
        <is>
          <t>غير مكتملة</t>
        </is>
      </c>
      <c r="G4" s="3" t="inlineStr">
        <is>
          <t>نسبة التطبيق الكامل</t>
        </is>
      </c>
    </row>
    <row r="5">
      <c r="A5" s="4" t="inlineStr">
        <is>
          <t>A.5 — الضوابط التنظيمية</t>
        </is>
      </c>
      <c r="B5" s="4" t="n">
        <v>37</v>
      </c>
      <c r="C5" s="4" t="n">
        <v>37</v>
      </c>
      <c r="D5" s="4" t="n">
        <v>2</v>
      </c>
      <c r="E5" s="4" t="n">
        <v>25</v>
      </c>
      <c r="F5" s="4" t="n">
        <v>10</v>
      </c>
      <c r="G5" s="13">
        <f>IF(C5=0,0,D5/C5)</f>
        <v/>
      </c>
    </row>
    <row r="6">
      <c r="A6" s="7" t="inlineStr">
        <is>
          <t>A.6 — ضوابط الأفراد</t>
        </is>
      </c>
      <c r="B6" s="7" t="n">
        <v>8</v>
      </c>
      <c r="C6" s="7" t="n">
        <v>8</v>
      </c>
      <c r="D6" s="7" t="n">
        <v>0</v>
      </c>
      <c r="E6" s="7" t="n">
        <v>6</v>
      </c>
      <c r="F6" s="7" t="n">
        <v>2</v>
      </c>
      <c r="G6" s="14">
        <f>IF(C6=0,0,D6/C6)</f>
        <v/>
      </c>
    </row>
    <row r="7">
      <c r="A7" s="4" t="inlineStr">
        <is>
          <t>A.7 — الضوابط المادية</t>
        </is>
      </c>
      <c r="B7" s="4" t="n">
        <v>14</v>
      </c>
      <c r="C7" s="4" t="n">
        <v>14</v>
      </c>
      <c r="D7" s="4" t="n">
        <v>1</v>
      </c>
      <c r="E7" s="4" t="n">
        <v>10</v>
      </c>
      <c r="F7" s="4" t="n">
        <v>3</v>
      </c>
      <c r="G7" s="13">
        <f>IF(C7=0,0,D7/C7)</f>
        <v/>
      </c>
    </row>
    <row r="8">
      <c r="A8" s="7" t="inlineStr">
        <is>
          <t>A.8 — الضوابط التقنية</t>
        </is>
      </c>
      <c r="B8" s="7" t="n">
        <v>34</v>
      </c>
      <c r="C8" s="7" t="n">
        <v>34</v>
      </c>
      <c r="D8" s="7" t="n">
        <v>0</v>
      </c>
      <c r="E8" s="7" t="n">
        <v>20</v>
      </c>
      <c r="F8" s="7" t="n">
        <v>14</v>
      </c>
      <c r="G8" s="14">
        <f>IF(C8=0,0,D8/C8)</f>
        <v/>
      </c>
    </row>
    <row r="9">
      <c r="A9" s="15" t="inlineStr">
        <is>
          <t>الإجمالي</t>
        </is>
      </c>
      <c r="B9" s="15">
        <f>SUM(B5:B8)</f>
        <v/>
      </c>
      <c r="C9" s="15">
        <f>SUM(C5:C8)</f>
        <v/>
      </c>
      <c r="D9" s="15">
        <f>SUM(D5:D8)</f>
        <v/>
      </c>
      <c r="E9" s="15">
        <f>SUM(E5:E8)</f>
        <v/>
      </c>
      <c r="F9" s="15">
        <f>SUM(F5:F8)</f>
        <v/>
      </c>
      <c r="G9" s="16">
        <f>IF(C9=0,0,D9/C9)</f>
        <v/>
      </c>
    </row>
  </sheetData>
  <mergeCells count="2">
    <mergeCell ref="A2:G2"/>
    <mergeCell ref="A1:G1"/>
  </mergeCells>
  <pageMargins left="0.25" right="0.25" top="0.5" bottom="0.5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22" customWidth="1" min="4" max="4"/>
  </cols>
  <sheetData>
    <row r="1" ht="28" customHeight="1">
      <c r="A1" s="1" t="inlineStr">
        <is>
          <t>اعتمادية وترابط وثائق نظام إدارة أمن المعلومات</t>
        </is>
      </c>
    </row>
    <row r="2" ht="32" customHeight="1">
      <c r="A2" s="2" t="inlineStr">
        <is>
          <t>توضح هذه الورقة كيف تتكامل وثيقة قابلية التطبيق مع ملفات المشروع الأخرى.</t>
        </is>
      </c>
    </row>
    <row r="4" ht="38" customHeight="1">
      <c r="A4" s="3" t="inlineStr">
        <is>
          <t>الوثيقة</t>
        </is>
      </c>
      <c r="B4" s="3" t="inlineStr">
        <is>
          <t>وظيفتها بالنسبة لهذا الملف</t>
        </is>
      </c>
      <c r="C4" s="3" t="inlineStr">
        <is>
          <t>الاعتماد المتبادل</t>
        </is>
      </c>
      <c r="D4" s="3" t="inlineStr">
        <is>
          <t>حالة الربط</t>
        </is>
      </c>
    </row>
    <row r="5">
      <c r="A5" s="4" t="inlineStr">
        <is>
          <t>وثيقة نطاق ISMS</t>
        </is>
      </c>
      <c r="B5" s="4" t="inlineStr">
        <is>
          <t>تحدد الحدود والمواقع والخدمات والأصول الداخلة في النظام.</t>
        </is>
      </c>
      <c r="C5" s="4" t="inlineStr">
        <is>
          <t>تحدد مجال الضوابط القابلة للتطبيق.</t>
        </is>
      </c>
      <c r="D5" s="4" t="inlineStr">
        <is>
          <t>مرتبط — الإصدار 1.0</t>
        </is>
      </c>
    </row>
    <row r="6">
      <c r="A6" s="7" t="inlineStr">
        <is>
          <t>سياسة أمن المعلومات</t>
        </is>
      </c>
      <c r="B6" s="7" t="inlineStr">
        <is>
          <t>تحدد التزام الإدارة ومبادئ الحماية والتحسين.</t>
        </is>
      </c>
      <c r="C6" s="7" t="inlineStr">
        <is>
          <t>تدعم تطبيق الضوابط التنظيمية والأفراد.</t>
        </is>
      </c>
      <c r="D6" s="7" t="inlineStr">
        <is>
          <t>مرتبط — الإصدار 1.0</t>
        </is>
      </c>
    </row>
    <row r="7">
      <c r="A7" s="4" t="inlineStr">
        <is>
          <t>تقييم ومعالجة المخاطر</t>
        </is>
      </c>
      <c r="B7" s="4" t="inlineStr">
        <is>
          <t>يوضح المخاطر التي تبرر اختيار الضوابط وترتيب المعالجة.</t>
        </is>
      </c>
      <c r="C7" s="4" t="inlineStr">
        <is>
          <t>يربط الضوابط بالمخاطر R-001 إلى R-012.</t>
        </is>
      </c>
      <c r="D7" s="4" t="inlineStr">
        <is>
          <t>مرتبط — الإصدار 1.0</t>
        </is>
      </c>
    </row>
    <row r="8">
      <c r="A8" s="7" t="inlineStr">
        <is>
          <t>منهجية المخاطر ومعيار قبولها</t>
        </is>
      </c>
      <c r="B8" s="7" t="inlineStr">
        <is>
          <t>تحدد طريقة التقييم والقرار بشأن المخاطر المتبقية.</t>
        </is>
      </c>
      <c r="C8" s="7" t="inlineStr">
        <is>
          <t>تستخدم لتبرير حالة التطبيق والأولوية.</t>
        </is>
      </c>
      <c r="D8" s="7" t="inlineStr">
        <is>
          <t>سيأتي في الملف الخامس</t>
        </is>
      </c>
    </row>
    <row r="9">
      <c r="A9" s="4" t="inlineStr">
        <is>
          <t>أهداف أمن المعلومات</t>
        </is>
      </c>
      <c r="B9" s="4" t="inlineStr">
        <is>
          <t>تحول نتائج الفجوات إلى أهداف ومؤشرات.</t>
        </is>
      </c>
      <c r="C9" s="4" t="inlineStr">
        <is>
          <t>تستخدم مؤشرات التطبيق والمعالجة في المتابعة.</t>
        </is>
      </c>
      <c r="D9" s="4" t="inlineStr">
        <is>
          <t>سيأتي في الملف السادس</t>
        </is>
      </c>
    </row>
    <row r="10">
      <c r="A10" s="7" t="inlineStr">
        <is>
          <t>إجراءات التشغيل وخطط الاستمرارية</t>
        </is>
      </c>
      <c r="B10" s="7" t="inlineStr">
        <is>
          <t>تثبت التطبيق الفعلي للضوابط.</t>
        </is>
      </c>
      <c r="C10" s="7" t="inlineStr">
        <is>
          <t>تغلق حالات «غير مكتمل» و«مطبق جزئياً».</t>
        </is>
      </c>
      <c r="D10" s="7" t="inlineStr">
        <is>
          <t>ستستكمل في الملفات اللاحقة</t>
        </is>
      </c>
    </row>
  </sheetData>
  <mergeCells count="2">
    <mergeCell ref="A2:F2"/>
    <mergeCell ref="A1:F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عمار سعيد — عبد الرحمن السلفي — علي الأشول — غسان عباد</dc:creator>
  <dc:title xmlns:dc="http://purl.org/dc/elements/1.1/">بيان قابلية التطبيق — بنك الآفاق الرقمية</dc:title>
  <dc:subject xmlns:dc="http://purl.org/dc/elements/1.1/">ISO/IEC 27001:2022 Clause 6.1.3 d</dc:subject>
  <dcterms:created xmlns:dcterms="http://purl.org/dc/terms/" xmlns:xsi="http://www.w3.org/2001/XMLSchema-instance" xsi:type="dcterms:W3CDTF">2026-09-08T19:27:18Z</dcterms:created>
  <dcterms:modified xmlns:dcterms="http://purl.org/dc/terms/" xmlns:xsi="http://www.w3.org/2001/XMLSchema-instance" xsi:type="dcterms:W3CDTF">2026-09-08T19:27:18Z</dcterms:modified>
  <cp:keywords>Statement of Applicability, ISO 27001, ISMS, Annex A, بنك الآفاق الرقمية</cp:keywords>
</cp:coreProperties>
</file>