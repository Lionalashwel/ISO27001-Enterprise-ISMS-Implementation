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تقييم" sheetId="1" state="visible" r:id="rId1"/>
    <sheet xmlns:r="http://schemas.openxmlformats.org/officeDocument/2006/relationships" name="سجل المخاطر" sheetId="2" state="visible" r:id="rId2"/>
    <sheet xmlns:r="http://schemas.openxmlformats.org/officeDocument/2006/relationships" name="مصفوفة التقييم" sheetId="3" state="visible" r:id="rId3"/>
    <sheet xmlns:r="http://schemas.openxmlformats.org/officeDocument/2006/relationships" name="خطة المعالجة" sheetId="4" state="visible" r:id="rId4"/>
    <sheet xmlns:r="http://schemas.openxmlformats.org/officeDocument/2006/relationships" name="الضوابط المرجعي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b val="1"/>
      <color rgb="00FFFFFF"/>
      <sz val="10"/>
    </font>
    <font>
      <name val="Arial"/>
      <color rgb="00404040"/>
      <sz val="9"/>
    </font>
    <font>
      <name val="Arial"/>
      <b val="1"/>
      <color rgb="00404040"/>
      <sz val="10"/>
    </font>
    <font>
      <name val="Arial"/>
      <b val="1"/>
      <color rgb="00404040"/>
      <sz val="11"/>
    </font>
  </fonts>
  <fills count="9">
    <fill>
      <patternFill/>
    </fill>
    <fill>
      <patternFill patternType="gray125"/>
    </fill>
    <fill>
      <patternFill patternType="solid">
        <fgColor rgb="005B4B8A"/>
      </patternFill>
    </fill>
    <fill>
      <patternFill patternType="solid">
        <fgColor rgb="00EEEAF5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center" vertical="top" wrapText="1"/>
    </xf>
    <xf numFmtId="1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right" vertical="top" wrapText="1"/>
    </xf>
    <xf numFmtId="0" fontId="4" fillId="6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center" vertical="top" wrapText="1"/>
    </xf>
    <xf numFmtId="1" fontId="4" fillId="3" borderId="1" applyAlignment="1" pivotButton="0" quotePrefix="0" xfId="0">
      <alignment horizontal="center" vertical="top" wrapText="1"/>
    </xf>
    <xf numFmtId="0" fontId="5" fillId="7" borderId="0" applyAlignment="1" pivotButton="0" quotePrefix="0" xfId="0">
      <alignment horizontal="right"/>
    </xf>
    <xf numFmtId="0" fontId="6" fillId="8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2" fillId="3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iskRegister" displayName="RiskRegister" ref="A4:W16" headerRowCount="1">
  <autoFilter ref="A4:W16"/>
  <tableColumns count="23">
    <tableColumn id="1" name="معرّف الخطر"/>
    <tableColumn id="2" name="الأصل/الخدمة"/>
    <tableColumn id="3" name="مالك الأصل أو الخطر"/>
    <tableColumn id="4" name="التهديد"/>
    <tableColumn id="5" name="الثغرة أو السبب"/>
    <tableColumn id="6" name="نوع الأثر"/>
    <tableColumn id="7" name="الضوابط الحالية"/>
    <tableColumn id="8" name="الاحتمال قبل (1-5)"/>
    <tableColumn id="9" name="الأثر قبل (1-5)"/>
    <tableColumn id="10" name="درجة الخطر قبل"/>
    <tableColumn id="11" name="مستوى الخطر قبل"/>
    <tableColumn id="12" name="خيار المعالجة"/>
    <tableColumn id="13" name="إجراء المعالجة المقترح"/>
    <tableColumn id="14" name="الضابط المرجعي"/>
    <tableColumn id="15" name="المسؤول عن الإجراء"/>
    <tableColumn id="16" name="التكلفة التقديرية (ر.س)"/>
    <tableColumn id="17" name="الموعد المستهدف"/>
    <tableColumn id="18" name="الاحتمال بعد"/>
    <tableColumn id="19" name="الأثر بعد"/>
    <tableColumn id="20" name="درجة الخطر بعد"/>
    <tableColumn id="21" name="المستوى بعد"/>
    <tableColumn id="22" name="حالة الإجراء"/>
    <tableColumn id="23" name="الخطر المتبقي والقرار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TreatmentPlan" displayName="TreatmentPlan" ref="A4:H16" headerRowCount="1">
  <autoFilter ref="A4:H16"/>
  <tableColumns count="8">
    <tableColumn id="1" name="معرّف الخطر"/>
    <tableColumn id="2" name="الخطر ذو الأولوية"/>
    <tableColumn id="3" name="الإجراء المعتمد"/>
    <tableColumn id="4" name="مالك الإجراء"/>
    <tableColumn id="5" name="الموعد"/>
    <tableColumn id="6" name="المؤشر/دليل الإغلاق"/>
    <tableColumn id="7" name="الحالة"/>
    <tableColumn id="8" name="اعتماد الخطر المتبقي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ReferenceControls" displayName="ReferenceControls" ref="A4:E24" headerRowCount="1">
  <autoFilter ref="A4:E24"/>
  <tableColumns count="5">
    <tableColumn id="1" name="المرجع"/>
    <tableColumn id="2" name="اسم الضابط بالعربية"/>
    <tableColumn id="3" name="المخاطر المرتبطة"/>
    <tableColumn id="4" name="حالة التطبيق الأولية"/>
    <tableColumn id="5" name="الوثيقة التابعة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تقييم ومعالجة مخاطر أمن المعلومات</t>
        </is>
      </c>
    </row>
    <row r="2" ht="32" customHeight="1">
      <c r="A2" s="2" t="inlineStr">
        <is>
          <t>بنك الآفاق الرقمية | الإصدار 1.0 | وثيقة العمل الثالثة من متطلبات تطبيق ISO/IEC 27001:2022</t>
        </is>
      </c>
    </row>
    <row r="4" ht="34" customHeight="1">
      <c r="A4" s="3" t="inlineStr">
        <is>
          <t>البيان</t>
        </is>
      </c>
      <c r="B4" s="3" t="inlineStr">
        <is>
          <t>القيمة</t>
        </is>
      </c>
    </row>
    <row r="5">
      <c r="A5" s="4" t="inlineStr">
        <is>
          <t>تصنيف الوثيقة</t>
        </is>
      </c>
      <c r="B5" s="4" t="inlineStr">
        <is>
          <t>سري — للاستخدام الداخلي</t>
        </is>
      </c>
      <c r="C5" s="5" t="n"/>
      <c r="D5" s="5" t="n"/>
      <c r="E5" s="5" t="n"/>
      <c r="F5" s="6" t="n"/>
    </row>
    <row r="6">
      <c r="A6" s="7" t="inlineStr">
        <is>
          <t>مرجع الوثيقة</t>
        </is>
      </c>
      <c r="B6" s="7" t="inlineStr">
        <is>
          <t>ISMS-FORM-06-1</t>
        </is>
      </c>
      <c r="C6" s="5" t="n"/>
      <c r="D6" s="5" t="n"/>
      <c r="E6" s="5" t="n"/>
      <c r="F6" s="6" t="n"/>
    </row>
    <row r="7">
      <c r="A7" s="4" t="inlineStr">
        <is>
          <t>نوع التقييم</t>
        </is>
      </c>
      <c r="B7" s="4" t="inlineStr">
        <is>
          <t>تقييم مخاطر مبني على الأصول</t>
        </is>
      </c>
      <c r="C7" s="5" t="n"/>
      <c r="D7" s="5" t="n"/>
      <c r="E7" s="5" t="n"/>
      <c r="F7" s="6" t="n"/>
    </row>
    <row r="8">
      <c r="A8" s="7" t="inlineStr">
        <is>
          <t>النطاق</t>
        </is>
      </c>
      <c r="B8" s="7" t="inlineStr">
        <is>
          <t>المقر الرئيسي ومراكز البيانات والفروع وأجهزة الصراف والخدمات والأنظمة والموردون ضمن نطاق ISMS</t>
        </is>
      </c>
      <c r="C8" s="5" t="n"/>
      <c r="D8" s="5" t="n"/>
      <c r="E8" s="5" t="n"/>
      <c r="F8" s="6" t="n"/>
    </row>
    <row r="9">
      <c r="A9" s="4" t="inlineStr">
        <is>
          <t>تاريخ التقييم</t>
        </is>
      </c>
      <c r="B9" s="4" t="inlineStr">
        <is>
          <t>08 سبتمبر 2026</t>
        </is>
      </c>
      <c r="C9" s="5" t="n"/>
      <c r="D9" s="5" t="n"/>
      <c r="E9" s="5" t="n"/>
      <c r="F9" s="6" t="n"/>
    </row>
    <row r="10">
      <c r="A10" s="7" t="inlineStr">
        <is>
          <t>قادة التقييم</t>
        </is>
      </c>
      <c r="B10" s="7" t="inlineStr">
        <is>
          <t>عمار سعيد — عبد الرحمن السلفي — علي الأشول — غسان عباد</t>
        </is>
      </c>
      <c r="C10" s="5" t="n"/>
      <c r="D10" s="5" t="n"/>
      <c r="E10" s="5" t="n"/>
      <c r="F10" s="6" t="n"/>
    </row>
    <row r="11">
      <c r="A11" s="4" t="inlineStr">
        <is>
          <t>المشاركون</t>
        </is>
      </c>
      <c r="B11" s="4" t="inlineStr">
        <is>
          <t>مدير أمن المعلومات، مدير تقنية المعلومات، إدارة المخاطر، ملاك الأصول، العمليات، الالتزام، الموارد البشرية والمراجعة الداخلية</t>
        </is>
      </c>
      <c r="C11" s="5" t="n"/>
      <c r="D11" s="5" t="n"/>
      <c r="E11" s="5" t="n"/>
      <c r="F11" s="6" t="n"/>
    </row>
    <row r="12">
      <c r="A12" s="7" t="inlineStr">
        <is>
          <t>معيار القبول</t>
        </is>
      </c>
      <c r="B12" s="7" t="inlineStr">
        <is>
          <t>مخاطر منخفضة تقبل عادة مع المتابعة. المخاطر المتوسطة تحتاج اعتماد مالك الخطر والإدارة المختصة. المخاطر العالية لا تقبل دون معالجة أو اعتماد صريح من الإدارة العليا.</t>
        </is>
      </c>
      <c r="C12" s="5" t="n"/>
      <c r="D12" s="5" t="n"/>
      <c r="E12" s="5" t="n"/>
      <c r="F12" s="6" t="n"/>
    </row>
    <row r="13">
      <c r="A13" s="4" t="inlineStr">
        <is>
          <t>اعتمادية الوثائق</t>
        </is>
      </c>
      <c r="B13" s="4" t="inlineStr">
        <is>
          <t>يعتمد هذا الملف على وثيقة نطاق ISMS وسياسة أمن المعلومات، ويغذي بيان قابلية التطبيق وأهداف أمن المعلومات وتقرير معالجة المخاطر وسجل الأصول.</t>
        </is>
      </c>
      <c r="C13" s="5" t="n"/>
      <c r="D13" s="5" t="n"/>
      <c r="E13" s="5" t="n"/>
      <c r="F13" s="6" t="n"/>
    </row>
    <row r="14">
      <c r="A14" s="7" t="inlineStr">
        <is>
          <t>حالة الاعتماد</t>
        </is>
      </c>
      <c r="B14" s="7" t="inlineStr">
        <is>
          <t>تم التوقيع — فريق العمل: عمار سعيد، عبد الرحمن السلفي، علي الأشول، غسان عباد</t>
        </is>
      </c>
      <c r="C14" s="5" t="n"/>
      <c r="D14" s="5" t="n"/>
      <c r="E14" s="5" t="n"/>
      <c r="F14" s="6" t="n"/>
    </row>
  </sheetData>
  <mergeCells count="12">
    <mergeCell ref="A1:J1"/>
    <mergeCell ref="B12:F12"/>
    <mergeCell ref="B7:F7"/>
    <mergeCell ref="B6:F6"/>
    <mergeCell ref="B10:F10"/>
    <mergeCell ref="B11:F11"/>
    <mergeCell ref="B5:F5"/>
    <mergeCell ref="B14:F14"/>
    <mergeCell ref="A2:J2"/>
    <mergeCell ref="B8:F8"/>
    <mergeCell ref="B9:F9"/>
    <mergeCell ref="B13:F13"/>
  </mergeCells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2" customWidth="1" min="4" max="4"/>
    <col width="28" customWidth="1" min="5" max="5"/>
    <col width="15" customWidth="1" min="6" max="6"/>
    <col width="28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34" customWidth="1" min="13" max="13"/>
    <col width="28" customWidth="1" min="14" max="14"/>
    <col width="22" customWidth="1" min="15" max="15"/>
    <col width="15" customWidth="1" min="16" max="16"/>
    <col width="15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25" customWidth="1" min="23" max="23"/>
  </cols>
  <sheetData>
    <row r="1" ht="28" customHeight="1">
      <c r="A1" s="1" t="inlineStr">
        <is>
          <t>سجل تقييم ومعالجة المخاطر</t>
        </is>
      </c>
    </row>
    <row r="2" ht="32" customHeight="1">
      <c r="A2" s="2" t="inlineStr">
        <is>
          <t>تقييم أولي قبل المعالجة وبعدها؛ القيم من 1 إلى 5 وفق مصفوفة الاحتمال والأثر.</t>
        </is>
      </c>
    </row>
    <row r="4" ht="34" customHeight="1">
      <c r="A4" s="3" t="inlineStr">
        <is>
          <t>معرّف الخطر</t>
        </is>
      </c>
      <c r="B4" s="3" t="inlineStr">
        <is>
          <t>الأصل/الخدمة</t>
        </is>
      </c>
      <c r="C4" s="3" t="inlineStr">
        <is>
          <t>مالك الأصل أو الخطر</t>
        </is>
      </c>
      <c r="D4" s="3" t="inlineStr">
        <is>
          <t>التهديد</t>
        </is>
      </c>
      <c r="E4" s="3" t="inlineStr">
        <is>
          <t>الثغرة أو السبب</t>
        </is>
      </c>
      <c r="F4" s="3" t="inlineStr">
        <is>
          <t>نوع الأثر</t>
        </is>
      </c>
      <c r="G4" s="3" t="inlineStr">
        <is>
          <t>الضوابط الحالية</t>
        </is>
      </c>
      <c r="H4" s="3" t="inlineStr">
        <is>
          <t>الاحتمال قبل (1-5)</t>
        </is>
      </c>
      <c r="I4" s="3" t="inlineStr">
        <is>
          <t>الأثر قبل (1-5)</t>
        </is>
      </c>
      <c r="J4" s="3" t="inlineStr">
        <is>
          <t>درجة الخطر قبل</t>
        </is>
      </c>
      <c r="K4" s="3" t="inlineStr">
        <is>
          <t>مستوى الخطر قبل</t>
        </is>
      </c>
      <c r="L4" s="3" t="inlineStr">
        <is>
          <t>خيار المعالجة</t>
        </is>
      </c>
      <c r="M4" s="3" t="inlineStr">
        <is>
          <t>إجراء المعالجة المقترح</t>
        </is>
      </c>
      <c r="N4" s="3" t="inlineStr">
        <is>
          <t>الضابط المرجعي</t>
        </is>
      </c>
      <c r="O4" s="3" t="inlineStr">
        <is>
          <t>المسؤول عن الإجراء</t>
        </is>
      </c>
      <c r="P4" s="3" t="inlineStr">
        <is>
          <t>التكلفة التقديرية (ر.س)</t>
        </is>
      </c>
      <c r="Q4" s="3" t="inlineStr">
        <is>
          <t>الموعد المستهدف</t>
        </is>
      </c>
      <c r="R4" s="3" t="inlineStr">
        <is>
          <t>الاحتمال بعد</t>
        </is>
      </c>
      <c r="S4" s="3" t="inlineStr">
        <is>
          <t>الأثر بعد</t>
        </is>
      </c>
      <c r="T4" s="3" t="inlineStr">
        <is>
          <t>درجة الخطر بعد</t>
        </is>
      </c>
      <c r="U4" s="3" t="inlineStr">
        <is>
          <t>المستوى بعد</t>
        </is>
      </c>
      <c r="V4" s="3" t="inlineStr">
        <is>
          <t>حالة الإجراء</t>
        </is>
      </c>
      <c r="W4" s="3" t="inlineStr">
        <is>
          <t>الخطر المتبقي والقرار</t>
        </is>
      </c>
    </row>
    <row r="5">
      <c r="A5" s="4" t="inlineStr">
        <is>
          <t>R-001</t>
        </is>
      </c>
      <c r="B5" s="4" t="inlineStr">
        <is>
          <t>الخدمات المصرفية الرقمية: تطبيق آفاق بلس</t>
        </is>
      </c>
      <c r="C5" s="4" t="inlineStr">
        <is>
          <t>مدير التطبيقات المصرفية</t>
        </is>
      </c>
      <c r="D5" s="4" t="inlineStr">
        <is>
          <t>استغلال ثغرة حقن SQL أو مهاجم خارجي</t>
        </is>
      </c>
      <c r="E5" s="4" t="inlineStr">
        <is>
          <t>وجود ثغرة عالية في التحقق من المدخلات لم تغلق بعد</t>
        </is>
      </c>
      <c r="F5" s="4" t="inlineStr">
        <is>
          <t>سرية وسلامة وتوفر</t>
        </is>
      </c>
      <c r="G5" s="4" t="inlineStr">
        <is>
          <t>جدار حماية تطبيقات الويب وفحص ثغرات ربع سنوي؛ المعالجة غير مكتملة</t>
        </is>
      </c>
      <c r="H5" s="8" t="n">
        <v>4</v>
      </c>
      <c r="I5" s="8" t="n">
        <v>5</v>
      </c>
      <c r="J5" s="9">
        <f>H5*I5</f>
        <v/>
      </c>
      <c r="K5" s="10">
        <f>IF(J5&gt;11,"عالي",IF(J5&gt;4,"متوسط","منخفض"))</f>
        <v/>
      </c>
      <c r="L5" s="4" t="inlineStr">
        <is>
          <t>Modify</t>
        </is>
      </c>
      <c r="M5" s="4" t="inlineStr">
        <is>
          <t>اختبار اختراق عاجل، إصلاح التحقق من المدخلات، مراجعة الكود ومنع الإطلاق حتى الإغلاق</t>
        </is>
      </c>
      <c r="N5" s="4" t="inlineStr">
        <is>
          <t>A.8.25 التطوير الآمن؛ A.8.28 البرمجة الآمنة؛ A.8.8 إدارة الثغرات</t>
        </is>
      </c>
      <c r="O5" s="4" t="inlineStr">
        <is>
          <t>مدير تطوير البرمجيات</t>
        </is>
      </c>
      <c r="P5" s="4" t="n">
        <v>250000</v>
      </c>
      <c r="Q5" s="4" t="inlineStr">
        <is>
          <t>30-09-2026</t>
        </is>
      </c>
      <c r="R5" s="8" t="n">
        <v>2</v>
      </c>
      <c r="S5" s="8" t="n">
        <v>4</v>
      </c>
      <c r="T5" s="9">
        <f>R5*S5</f>
        <v/>
      </c>
      <c r="U5" s="11">
        <f>IF(T5&gt;11,"عالي",IF(T5&gt;4,"متوسط","منخفض"))</f>
        <v/>
      </c>
      <c r="V5" s="4" t="inlineStr">
        <is>
          <t>قيد التنفيذ</t>
        </is>
      </c>
      <c r="W5" s="4" t="inlineStr">
        <is>
          <t>يقبل مؤقتاً من مدير أمن المعلومات فقط حتى الإغلاق</t>
        </is>
      </c>
    </row>
    <row r="6">
      <c r="A6" s="7" t="inlineStr">
        <is>
          <t>R-002</t>
        </is>
      </c>
      <c r="B6" s="7" t="inlineStr">
        <is>
          <t>جدار الحماية والخدمات الرقمية</t>
        </is>
      </c>
      <c r="C6" s="7" t="inlineStr">
        <is>
          <t>مدير الشبكات</t>
        </is>
      </c>
      <c r="D6" s="7" t="inlineStr">
        <is>
          <t>خطأ بشري يؤدي إلى انقطاع الخدمات</t>
        </is>
      </c>
      <c r="E6" s="7" t="inlineStr">
        <is>
          <t>غياب المراجعة الثنائية وخطة التراجع السريعة</t>
        </is>
      </c>
      <c r="F6" s="7" t="inlineStr">
        <is>
          <t>توفر</t>
        </is>
      </c>
      <c r="G6" s="7" t="inlineStr">
        <is>
          <t>نسخ إعدادات جزئية ومراقبة يدوية</t>
        </is>
      </c>
      <c r="H6" s="12" t="n">
        <v>3</v>
      </c>
      <c r="I6" s="12" t="n">
        <v>5</v>
      </c>
      <c r="J6" s="13">
        <f>H6*I6</f>
        <v/>
      </c>
      <c r="K6" s="10">
        <f>IF(J6&gt;11,"عالي",IF(J6&gt;4,"متوسط","منخفض"))</f>
        <v/>
      </c>
      <c r="L6" s="7" t="inlineStr">
        <is>
          <t>Modify</t>
        </is>
      </c>
      <c r="M6" s="7" t="inlineStr">
        <is>
          <t>اعتماد تغيير ثنائي، اختبار مسبق، نسخة إعداد تلقائية وخطة تراجع ومراقبة تنبيهية</t>
        </is>
      </c>
      <c r="N6" s="7" t="inlineStr">
        <is>
          <t>A.8.9 إدارة الإعدادات؛ A.8.32 إدارة التغيير؛ A.8.16 أنشطة المراقبة</t>
        </is>
      </c>
      <c r="O6" s="7" t="inlineStr">
        <is>
          <t>مدير الشبكات</t>
        </is>
      </c>
      <c r="P6" s="7" t="n">
        <v>120000</v>
      </c>
      <c r="Q6" s="7" t="inlineStr">
        <is>
          <t>15-10-2026</t>
        </is>
      </c>
      <c r="R6" s="12" t="n">
        <v>1</v>
      </c>
      <c r="S6" s="12" t="n">
        <v>4</v>
      </c>
      <c r="T6" s="13">
        <f>R6*S6</f>
        <v/>
      </c>
      <c r="U6" s="11">
        <f>IF(T6&gt;11,"عالي",IF(T6&gt;4,"متوسط","منخفض"))</f>
        <v/>
      </c>
      <c r="V6" s="7" t="inlineStr">
        <is>
          <t>لم يبدأ</t>
        </is>
      </c>
      <c r="W6" s="7" t="inlineStr">
        <is>
          <t>لا يقبل الخطر المتبقي إذا تجاوز الانقطاع المستهدف</t>
        </is>
      </c>
    </row>
    <row r="7">
      <c r="A7" s="4" t="inlineStr">
        <is>
          <t>R-003</t>
        </is>
      </c>
      <c r="B7" s="4" t="inlineStr">
        <is>
          <t>البريد الإلكتروني وموظفو المالية</t>
        </is>
      </c>
      <c r="C7" s="4" t="inlineStr">
        <is>
          <t>مدير المالية</t>
        </is>
      </c>
      <c r="D7" s="4" t="inlineStr">
        <is>
          <t>تصيد احتيالي وانتحال هوية المدير المالي</t>
        </is>
      </c>
      <c r="E7" s="4" t="inlineStr">
        <is>
          <t>ضعف التوعية ومعدل نقر مرتفع وعدم تدريب لاحق للحادث</t>
        </is>
      </c>
      <c r="F7" s="4" t="inlineStr">
        <is>
          <t>سرية وسلامة ومالي</t>
        </is>
      </c>
      <c r="G7" s="4" t="inlineStr">
        <is>
          <t>بوابة بريد آمن ونظام كشف احتيال</t>
        </is>
      </c>
      <c r="H7" s="8" t="n">
        <v>4</v>
      </c>
      <c r="I7" s="8" t="n">
        <v>5</v>
      </c>
      <c r="J7" s="9">
        <f>H7*I7</f>
        <v/>
      </c>
      <c r="K7" s="10">
        <f>IF(J7&gt;11,"عالي",IF(J7&gt;4,"متوسط","منخفض"))</f>
        <v/>
      </c>
      <c r="L7" s="4" t="inlineStr">
        <is>
          <t>Modify</t>
        </is>
      </c>
      <c r="M7" s="4" t="inlineStr">
        <is>
          <t>تدريب موجه للمالية، محاكاة شهرية، تحقق هاتفي للتحويلات عالية المخاطر وقواعد كشف إضافية</t>
        </is>
      </c>
      <c r="N7" s="4" t="inlineStr">
        <is>
          <t>A.6.3 الوعي والتدريب؛ A.8.7 الحماية من البرمجيات الخبيثة؛ A.8.16 المراقبة</t>
        </is>
      </c>
      <c r="O7" s="4" t="inlineStr">
        <is>
          <t>مدير أمن المعلومات ومدير المالية</t>
        </is>
      </c>
      <c r="P7" s="4" t="n">
        <v>80000</v>
      </c>
      <c r="Q7" s="4" t="inlineStr">
        <is>
          <t>31-10-2026</t>
        </is>
      </c>
      <c r="R7" s="8" t="n">
        <v>2</v>
      </c>
      <c r="S7" s="8" t="n">
        <v>4</v>
      </c>
      <c r="T7" s="9">
        <f>R7*S7</f>
        <v/>
      </c>
      <c r="U7" s="11">
        <f>IF(T7&gt;11,"عالي",IF(T7&gt;4,"متوسط","منخفض"))</f>
        <v/>
      </c>
      <c r="V7" s="4" t="inlineStr">
        <is>
          <t>قيد التنفيذ</t>
        </is>
      </c>
      <c r="W7" s="4" t="inlineStr">
        <is>
          <t>يقبل بعد تحقق انخفاض النقر والإبلاغ</t>
        </is>
      </c>
    </row>
    <row r="8">
      <c r="A8" s="7" t="inlineStr">
        <is>
          <t>R-004</t>
        </is>
      </c>
      <c r="B8" s="7" t="inlineStr">
        <is>
          <t>أجهزة الحواسيب المحمولة وقواعد بيانات العملاء</t>
        </is>
      </c>
      <c r="C8" s="7" t="inlineStr">
        <is>
          <t>مدير تقنية المعلومات</t>
        </is>
      </c>
      <c r="D8" s="7" t="inlineStr">
        <is>
          <t>فقدان أو سرقة جهاز متنقل</t>
        </is>
      </c>
      <c r="E8" s="7" t="inlineStr">
        <is>
          <t>عدم تفعيل التشفير الكامل وتأخر الإبلاغ 48 ساعة</t>
        </is>
      </c>
      <c r="F8" s="7" t="inlineStr">
        <is>
          <t>سرية وامتثال</t>
        </is>
      </c>
      <c r="G8" s="7" t="inlineStr">
        <is>
          <t>إدارة أجهزة مركزية جزئية وقفل شاشة</t>
        </is>
      </c>
      <c r="H8" s="12" t="n">
        <v>3</v>
      </c>
      <c r="I8" s="12" t="n">
        <v>5</v>
      </c>
      <c r="J8" s="13">
        <f>H8*I8</f>
        <v/>
      </c>
      <c r="K8" s="10">
        <f>IF(J8&gt;11,"عالي",IF(J8&gt;4,"متوسط","منخفض"))</f>
        <v/>
      </c>
      <c r="L8" s="7" t="inlineStr">
        <is>
          <t>Modify</t>
        </is>
      </c>
      <c r="M8" s="7" t="inlineStr">
        <is>
          <t>تشفير كامل للأقراص، إدارة أجهزة متنقلة، مسح عن بعد، إبلاغ خلال ساعة وتدريب السفر</t>
        </is>
      </c>
      <c r="N8" s="7" t="inlineStr">
        <is>
          <t>A.8.1 أجهزة المستخدم؛ A.8.24 استخدام التشفير؛ A.6.3 الوعي</t>
        </is>
      </c>
      <c r="O8" s="7" t="inlineStr">
        <is>
          <t>مدير البنية التحتية</t>
        </is>
      </c>
      <c r="P8" s="7" t="n">
        <v>450000</v>
      </c>
      <c r="Q8" s="7" t="inlineStr">
        <is>
          <t>31-12-2026</t>
        </is>
      </c>
      <c r="R8" s="12" t="n">
        <v>1</v>
      </c>
      <c r="S8" s="12" t="n">
        <v>4</v>
      </c>
      <c r="T8" s="13">
        <f>R8*S8</f>
        <v/>
      </c>
      <c r="U8" s="11">
        <f>IF(T8&gt;11,"عالي",IF(T8&gt;4,"متوسط","منخفض"))</f>
        <v/>
      </c>
      <c r="V8" s="7" t="inlineStr">
        <is>
          <t>قيد التنفيذ</t>
        </is>
      </c>
      <c r="W8" s="7" t="inlineStr">
        <is>
          <t>المتبقي مرتبط بأجهزة غير متوافقة ويعالج بخطة استبدال</t>
        </is>
      </c>
    </row>
    <row r="9">
      <c r="A9" s="4" t="inlineStr">
        <is>
          <t>R-005</t>
        </is>
      </c>
      <c r="B9" s="4" t="inlineStr">
        <is>
          <t>الشهادات الرقمية للموقع وبوابة الإنترنت</t>
        </is>
      </c>
      <c r="C9" s="4" t="inlineStr">
        <is>
          <t>مدير البنية التحتية</t>
        </is>
      </c>
      <c r="D9" s="4" t="inlineStr">
        <is>
          <t>انتهاء شهادة SSL/TLS</t>
        </is>
      </c>
      <c r="E9" s="4" t="inlineStr">
        <is>
          <t>عدم وجود مراقبة آلية لتواريخ الانتهاء والتجديد</t>
        </is>
      </c>
      <c r="F9" s="4" t="inlineStr">
        <is>
          <t>توفر وسمعة</t>
        </is>
      </c>
      <c r="G9" s="4" t="inlineStr">
        <is>
          <t>مراجعة يدوية متقطعة</t>
        </is>
      </c>
      <c r="H9" s="8" t="n">
        <v>3</v>
      </c>
      <c r="I9" s="8" t="n">
        <v>4</v>
      </c>
      <c r="J9" s="9">
        <f>H9*I9</f>
        <v/>
      </c>
      <c r="K9" s="10">
        <f>IF(J9&gt;11,"عالي",IF(J9&gt;4,"متوسط","منخفض"))</f>
        <v/>
      </c>
      <c r="L9" s="4" t="inlineStr">
        <is>
          <t>Modify</t>
        </is>
      </c>
      <c r="M9" s="4" t="inlineStr">
        <is>
          <t>جرد مركزي للشهادات، تنبيهات قبل 90/60/30 يوماً وتجديد آلي مع اختبار</t>
        </is>
      </c>
      <c r="N9" s="4" t="inlineStr">
        <is>
          <t>A.8.9 إدارة الإعدادات؛ A.8.16 المراقبة؛ A.8.20 أمن الشبكات</t>
        </is>
      </c>
      <c r="O9" s="4" t="inlineStr">
        <is>
          <t>مدير الشبكات</t>
        </is>
      </c>
      <c r="P9" s="4" t="n">
        <v>60000</v>
      </c>
      <c r="Q9" s="4" t="inlineStr">
        <is>
          <t>30-09-2026</t>
        </is>
      </c>
      <c r="R9" s="8" t="n">
        <v>1</v>
      </c>
      <c r="S9" s="8" t="n">
        <v>3</v>
      </c>
      <c r="T9" s="9">
        <f>R9*S9</f>
        <v/>
      </c>
      <c r="U9" s="11">
        <f>IF(T9&gt;11,"عالي",IF(T9&gt;4,"متوسط","منخفض"))</f>
        <v/>
      </c>
      <c r="V9" s="4" t="inlineStr">
        <is>
          <t>لم يبدأ</t>
        </is>
      </c>
      <c r="W9" s="4" t="inlineStr">
        <is>
          <t>يقبل بعد تشغيل التنبيهات واختبارها</t>
        </is>
      </c>
    </row>
    <row r="10">
      <c r="A10" s="7" t="inlineStr">
        <is>
          <t>R-006</t>
        </is>
      </c>
      <c r="B10" s="7" t="inlineStr">
        <is>
          <t>مجلدات الموارد البشرية والرواتب</t>
        </is>
      </c>
      <c r="C10" s="7" t="inlineStr">
        <is>
          <t>مدير الموارد البشرية</t>
        </is>
      </c>
      <c r="D10" s="7" t="inlineStr">
        <is>
          <t>وصول داخلي غير مصرح أو إساءة استخدام</t>
        </is>
      </c>
      <c r="E10" s="7" t="inlineStr">
        <is>
          <t>صلاحيات موروثة من مشروع قديم وعدم مراجعة دورية</t>
        </is>
      </c>
      <c r="F10" s="7" t="inlineStr">
        <is>
          <t>سرية وخصوصية</t>
        </is>
      </c>
      <c r="G10" s="7" t="inlineStr">
        <is>
          <t>دليل نشط وصلاحيات مجلدات؛ اكتشاف عبر مراجعة روتينية</t>
        </is>
      </c>
      <c r="H10" s="12" t="n">
        <v>3</v>
      </c>
      <c r="I10" s="12" t="n">
        <v>5</v>
      </c>
      <c r="J10" s="13">
        <f>H10*I10</f>
        <v/>
      </c>
      <c r="K10" s="10">
        <f>IF(J10&gt;11,"عالي",IF(J10&gt;4,"متوسط","منخفض"))</f>
        <v/>
      </c>
      <c r="L10" s="7" t="inlineStr">
        <is>
          <t>Modify</t>
        </is>
      </c>
      <c r="M10" s="7" t="inlineStr">
        <is>
          <t>مراجعة ربع سنوية للصلاحيات، إزالة الموروث، فصل أدوار تقنية المعلومات وتسجيل الوصول</t>
        </is>
      </c>
      <c r="N10" s="7" t="inlineStr">
        <is>
          <t>A.5.15 التحكم في الوصول؛ A.5.18 حقوق الوصول؛ A.8.3 تقييد الوصول</t>
        </is>
      </c>
      <c r="O10" s="7" t="inlineStr">
        <is>
          <t>مدير تقنية المعلومات ومدير الموارد البشرية</t>
        </is>
      </c>
      <c r="P10" s="7" t="n">
        <v>70000</v>
      </c>
      <c r="Q10" s="7" t="inlineStr">
        <is>
          <t>15-10-2026</t>
        </is>
      </c>
      <c r="R10" s="12" t="n">
        <v>1</v>
      </c>
      <c r="S10" s="12" t="n">
        <v>4</v>
      </c>
      <c r="T10" s="13">
        <f>R10*S10</f>
        <v/>
      </c>
      <c r="U10" s="11">
        <f>IF(T10&gt;11,"عالي",IF(T10&gt;4,"متوسط","منخفض"))</f>
        <v/>
      </c>
      <c r="V10" s="7" t="inlineStr">
        <is>
          <t>قيد التنفيذ</t>
        </is>
      </c>
      <c r="W10" s="7" t="inlineStr">
        <is>
          <t>لا يقبل إلا بعد إثبات المراجعة والإزالة</t>
        </is>
      </c>
    </row>
    <row r="11">
      <c r="A11" s="4" t="inlineStr">
        <is>
          <t>R-007</t>
        </is>
      </c>
      <c r="B11" s="4" t="inlineStr">
        <is>
          <t>الخوادم ومخازن البيانات في مركز البيانات</t>
        </is>
      </c>
      <c r="C11" s="4" t="inlineStr">
        <is>
          <t>مدير مركز البيانات</t>
        </is>
      </c>
      <c r="D11" s="4" t="inlineStr">
        <is>
          <t>فدية أو برمجية خبيثة</t>
        </is>
      </c>
      <c r="E11" s="4" t="inlineStr">
        <is>
          <t>تزايد التهديدات ونقاط ضعف غير معالجة ونسخ احتياطي يحتاج اختباراً</t>
        </is>
      </c>
      <c r="F11" s="4" t="inlineStr">
        <is>
          <t>سرية وسلامة وتوفر</t>
        </is>
      </c>
      <c r="G11" s="4" t="inlineStr">
        <is>
          <t>مكافحة برمجيات خبيثة ونسخ احتياطي وشبكة محمية</t>
        </is>
      </c>
      <c r="H11" s="8" t="n">
        <v>3</v>
      </c>
      <c r="I11" s="8" t="n">
        <v>5</v>
      </c>
      <c r="J11" s="9">
        <f>H11*I11</f>
        <v/>
      </c>
      <c r="K11" s="10">
        <f>IF(J11&gt;11,"عالي",IF(J11&gt;4,"متوسط","منخفض"))</f>
        <v/>
      </c>
      <c r="L11" s="4" t="inlineStr">
        <is>
          <t>Modify</t>
        </is>
      </c>
      <c r="M11" s="4" t="inlineStr">
        <is>
          <t>نسخ غير متصلة، اختبار استعادة ربع سنوي، تقسيم الشبكة، معالجة الثغرات ومراقبة SIEM تدريجية</t>
        </is>
      </c>
      <c r="N11" s="4" t="inlineStr">
        <is>
          <t>A.8.7 مكافحة البرمجيات الخبيثة؛ A.8.13 النسخ الاحتياطي؛ A.8.8 الثغرات</t>
        </is>
      </c>
      <c r="O11" s="4" t="inlineStr">
        <is>
          <t>مدير تقنية المعلومات</t>
        </is>
      </c>
      <c r="P11" s="4" t="n">
        <v>500000</v>
      </c>
      <c r="Q11" s="4" t="inlineStr">
        <is>
          <t>31-12-2026</t>
        </is>
      </c>
      <c r="R11" s="8" t="n">
        <v>2</v>
      </c>
      <c r="S11" s="8" t="n">
        <v>4</v>
      </c>
      <c r="T11" s="9">
        <f>R11*S11</f>
        <v/>
      </c>
      <c r="U11" s="11">
        <f>IF(T11&gt;11,"عالي",IF(T11&gt;4,"متوسط","منخفض"))</f>
        <v/>
      </c>
      <c r="V11" s="4" t="inlineStr">
        <is>
          <t>قيد التنفيذ</t>
        </is>
      </c>
      <c r="W11" s="4" t="inlineStr">
        <is>
          <t>الخطر المتبقي يعتمد على نتائج اختبار الاستعادة</t>
        </is>
      </c>
    </row>
    <row r="12">
      <c r="A12" s="7" t="inlineStr">
        <is>
          <t>R-008</t>
        </is>
      </c>
      <c r="B12" s="7" t="inlineStr">
        <is>
          <t>الربط بين الفروع ومركز البيانات</t>
        </is>
      </c>
      <c r="C12" s="7" t="inlineStr">
        <is>
          <t>مدير الشبكات</t>
        </is>
      </c>
      <c r="D12" s="7" t="inlineStr">
        <is>
          <t>حجب خدمة أو انقطاع اتصال</t>
        </is>
      </c>
      <c r="E12" s="7" t="inlineStr">
        <is>
          <t>الاعتماد على روابط واتصالات قد تتعطل وعدم كفاية مراقبة الأداء</t>
        </is>
      </c>
      <c r="F12" s="7" t="inlineStr">
        <is>
          <t>توفر</t>
        </is>
      </c>
      <c r="G12" s="7" t="inlineStr">
        <is>
          <t>روابط مزدوجة ومودم احتياطي في بعض المواقع</t>
        </is>
      </c>
      <c r="H12" s="12" t="n">
        <v>3</v>
      </c>
      <c r="I12" s="12" t="n">
        <v>4</v>
      </c>
      <c r="J12" s="13">
        <f>H12*I12</f>
        <v/>
      </c>
      <c r="K12" s="10">
        <f>IF(J12&gt;11,"عالي",IF(J12&gt;4,"متوسط","منخفض"))</f>
        <v/>
      </c>
      <c r="L12" s="7" t="inlineStr">
        <is>
          <t>Modify</t>
        </is>
      </c>
      <c r="M12" s="7" t="inlineStr">
        <is>
          <t>اختبار التحويل للرابط البديل، مراقبة توافر، اتفاقيات مستوى خدمة وخطة اتصال طوارئ</t>
        </is>
      </c>
      <c r="N12" s="7" t="inlineStr">
        <is>
          <t>A.8.14 التكرار؛ A.8.20 أمن الشبكات؛ A.5.30 جاهزية تقنية لاستمرارية الأعمال</t>
        </is>
      </c>
      <c r="O12" s="7" t="inlineStr">
        <is>
          <t>مدير الشبكات</t>
        </is>
      </c>
      <c r="P12" s="7" t="n">
        <v>180000</v>
      </c>
      <c r="Q12" s="7" t="inlineStr">
        <is>
          <t>30-11-2026</t>
        </is>
      </c>
      <c r="R12" s="12" t="n">
        <v>1</v>
      </c>
      <c r="S12" s="12" t="n">
        <v>3</v>
      </c>
      <c r="T12" s="13">
        <f>R12*S12</f>
        <v/>
      </c>
      <c r="U12" s="11">
        <f>IF(T12&gt;11,"عالي",IF(T12&gt;4,"متوسط","منخفض"))</f>
        <v/>
      </c>
      <c r="V12" s="7" t="inlineStr">
        <is>
          <t>لم يبدأ</t>
        </is>
      </c>
      <c r="W12" s="7" t="inlineStr">
        <is>
          <t>يقبل ضمن حدود RTO المعتمد</t>
        </is>
      </c>
    </row>
    <row r="13">
      <c r="A13" s="4" t="inlineStr">
        <is>
          <t>R-009</t>
        </is>
      </c>
      <c r="B13" s="4" t="inlineStr">
        <is>
          <t>تطبيق آفاق بلس وبيئات التطوير</t>
        </is>
      </c>
      <c r="C13" s="4" t="inlineStr">
        <is>
          <t>شركة تطوير التطبيق والشيفرة المصدرية</t>
        </is>
      </c>
      <c r="D13" s="4" t="inlineStr">
        <is>
          <t>تسريب أو تعديل الشيفرة أو إدخال مكوّن ضعيف</t>
        </is>
      </c>
      <c r="E13" s="4" t="inlineStr">
        <is>
          <t>وصول طرف ثالث وضرورة تحسين فصل بيانات الاختبار ومراجعة الاعتماديات</t>
        </is>
      </c>
      <c r="F13" s="4" t="inlineStr">
        <is>
          <t>سرية وسلامة</t>
        </is>
      </c>
      <c r="G13" s="4" t="inlineStr">
        <is>
          <t>GitLab داخلي وبيئات منفصلة جزئياً</t>
        </is>
      </c>
      <c r="H13" s="8" t="n">
        <v>3</v>
      </c>
      <c r="I13" s="8" t="n">
        <v>4</v>
      </c>
      <c r="J13" s="9">
        <f>H13*I13</f>
        <v/>
      </c>
      <c r="K13" s="10">
        <f>IF(J13&gt;11,"عالي",IF(J13&gt;4,"متوسط","منخفض"))</f>
        <v/>
      </c>
      <c r="L13" s="4" t="inlineStr">
        <is>
          <t>Modify</t>
        </is>
      </c>
      <c r="M13" s="4" t="inlineStr">
        <is>
          <t>تحديث العقد، وصول مؤقت، فحص مكونات البرمجيات، بيانات اختبار منزوعة الهوية ومراجعة كود</t>
        </is>
      </c>
      <c r="N13" s="4" t="inlineStr">
        <is>
          <t>A.5.19 أمن علاقات الموردين؛ A.8.25 التطوير الآمن؛ A.8.33 بيانات الاختبار</t>
        </is>
      </c>
      <c r="O13" s="4" t="inlineStr">
        <is>
          <t>مدير تطوير البرمجيات</t>
        </is>
      </c>
      <c r="P13" s="4" t="n">
        <v>150000</v>
      </c>
      <c r="Q13" s="4" t="inlineStr">
        <is>
          <t>30-11-2026</t>
        </is>
      </c>
      <c r="R13" s="8" t="n">
        <v>1</v>
      </c>
      <c r="S13" s="8" t="n">
        <v>3</v>
      </c>
      <c r="T13" s="9">
        <f>R13*S13</f>
        <v/>
      </c>
      <c r="U13" s="11">
        <f>IF(T13&gt;11,"عالي",IF(T13&gt;4,"متوسط","منخفض"))</f>
        <v/>
      </c>
      <c r="V13" s="4" t="inlineStr">
        <is>
          <t>قيد التنفيذ</t>
        </is>
      </c>
      <c r="W13" s="4" t="inlineStr">
        <is>
          <t>يقبل بعد تقرير فحص مستقل</t>
        </is>
      </c>
    </row>
    <row r="14">
      <c r="A14" s="7" t="inlineStr">
        <is>
          <t>R-010</t>
        </is>
      </c>
      <c r="B14" s="7" t="inlineStr">
        <is>
          <t>الخدمات السحابية AWS للأنظمة غير الحرجة</t>
        </is>
      </c>
      <c r="C14" s="7" t="inlineStr">
        <is>
          <t>مدير الموردين وتقنية المعلومات</t>
        </is>
      </c>
      <c r="D14" s="7" t="inlineStr">
        <is>
          <t>فقدان توافر أو كشف بيانات بسبب مورد سحابي</t>
        </is>
      </c>
      <c r="E14" s="7" t="inlineStr">
        <is>
          <t>اعتماد خارجي وتباين مسؤوليات الأمن بين البنك والمورد</t>
        </is>
      </c>
      <c r="F14" s="7" t="inlineStr">
        <is>
          <t>سرية وتوفر وامتثال</t>
        </is>
      </c>
      <c r="G14" s="7" t="inlineStr">
        <is>
          <t>عقد خدمة وتحديد أنظمة غير حرجة</t>
        </is>
      </c>
      <c r="H14" s="12" t="n">
        <v>2</v>
      </c>
      <c r="I14" s="12" t="n">
        <v>4</v>
      </c>
      <c r="J14" s="13">
        <f>H14*I14</f>
        <v/>
      </c>
      <c r="K14" s="10">
        <f>IF(J14&gt;11,"عالي",IF(J14&gt;4,"متوسط","منخفض"))</f>
        <v/>
      </c>
      <c r="L14" s="7" t="inlineStr">
        <is>
          <t>Share</t>
        </is>
      </c>
      <c r="M14" s="7" t="inlineStr">
        <is>
          <t>تقييم مورد سنوي، اتفاقية أمن، تشفير، سجلات وصول، اختبار خروج واستعادة</t>
        </is>
      </c>
      <c r="N14" s="7" t="inlineStr">
        <is>
          <t>A.5.19 وA.5.23 أمن الموردين والخدمات السحابية؛ A.8.24 التشفير</t>
        </is>
      </c>
      <c r="O14" s="7" t="inlineStr">
        <is>
          <t>مدير المشتريات ومدير أمن المعلومات</t>
        </is>
      </c>
      <c r="P14" s="7" t="n">
        <v>100000</v>
      </c>
      <c r="Q14" s="7" t="inlineStr">
        <is>
          <t>31-10-2026</t>
        </is>
      </c>
      <c r="R14" s="12" t="n">
        <v>1</v>
      </c>
      <c r="S14" s="12" t="n">
        <v>3</v>
      </c>
      <c r="T14" s="13">
        <f>R14*S14</f>
        <v/>
      </c>
      <c r="U14" s="11">
        <f>IF(T14&gt;11,"عالي",IF(T14&gt;4,"متوسط","منخفض"))</f>
        <v/>
      </c>
      <c r="V14" s="7" t="inlineStr">
        <is>
          <t>لم يبدأ</t>
        </is>
      </c>
      <c r="W14" s="7" t="inlineStr">
        <is>
          <t>يقبل بشرط اكتمال التقييم والعقد</t>
        </is>
      </c>
    </row>
    <row r="15">
      <c r="A15" s="4" t="inlineStr">
        <is>
          <t>R-011</t>
        </is>
      </c>
      <c r="B15" s="4" t="inlineStr">
        <is>
          <t>المعاملات والتحويلات الدولية</t>
        </is>
      </c>
      <c r="C15" s="4" t="inlineStr">
        <is>
          <t>مدير العمليات المصرفية الدولية</t>
        </is>
      </c>
      <c r="D15" s="4" t="inlineStr">
        <is>
          <t>تحويل احتيالي أو غسل أموال عبر حساب عالي المخاطر</t>
        </is>
      </c>
      <c r="E15" s="4" t="inlineStr">
        <is>
          <t>اعتماد على التنبيهات مع تأخر المراجعة البشرية</t>
        </is>
      </c>
      <c r="F15" s="4" t="inlineStr">
        <is>
          <t>سلامة وامتثال ومالي</t>
        </is>
      </c>
      <c r="G15" s="4" t="inlineStr">
        <is>
          <t>نظام كشف الاحتيال وحدود تحويل</t>
        </is>
      </c>
      <c r="H15" s="8" t="n">
        <v>3</v>
      </c>
      <c r="I15" s="8" t="n">
        <v>5</v>
      </c>
      <c r="J15" s="9">
        <f>H15*I15</f>
        <v/>
      </c>
      <c r="K15" s="10">
        <f>IF(J15&gt;11,"عالي",IF(J15&gt;4,"متوسط","منخفض"))</f>
        <v/>
      </c>
      <c r="L15" s="4" t="inlineStr">
        <is>
          <t>Modify</t>
        </is>
      </c>
      <c r="M15" s="4" t="inlineStr">
        <is>
          <t>مراجعة فورية للحالات عالية المخاطر، تحقق ثنائي، تحديث قواعد الدول والحسابات والتدريب</t>
        </is>
      </c>
      <c r="N15" s="4" t="inlineStr">
        <is>
          <t>A.5.3 فصل الواجبات؛ A.8.15 التسجيل؛ A.8.16 المراقبة</t>
        </is>
      </c>
      <c r="O15" s="4" t="inlineStr">
        <is>
          <t>مدير العمليات الدولية ومدير الاحتيال</t>
        </is>
      </c>
      <c r="P15" s="4" t="n">
        <v>220000</v>
      </c>
      <c r="Q15" s="4" t="inlineStr">
        <is>
          <t>31-10-2026</t>
        </is>
      </c>
      <c r="R15" s="8" t="n">
        <v>2</v>
      </c>
      <c r="S15" s="8" t="n">
        <v>4</v>
      </c>
      <c r="T15" s="9">
        <f>R15*S15</f>
        <v/>
      </c>
      <c r="U15" s="11">
        <f>IF(T15&gt;11,"عالي",IF(T15&gt;4,"متوسط","منخفض"))</f>
        <v/>
      </c>
      <c r="V15" s="4" t="inlineStr">
        <is>
          <t>قيد التنفيذ</t>
        </is>
      </c>
      <c r="W15" s="4" t="inlineStr">
        <is>
          <t>اعتماد المخاطر المتبقية من لجنة المخاطر</t>
        </is>
      </c>
    </row>
    <row r="16">
      <c r="A16" s="7" t="inlineStr">
        <is>
          <t>R-012</t>
        </is>
      </c>
      <c r="B16" s="7" t="inlineStr">
        <is>
          <t>مركز البيانات ومركز التعافي والفروع</t>
        </is>
      </c>
      <c r="C16" s="7" t="inlineStr">
        <is>
          <t>مدير المرافق وإدارة استمرارية الأعمال</t>
        </is>
      </c>
      <c r="D16" s="7" t="inlineStr">
        <is>
          <t>حريق أو انقطاع طاقة أو كارثة محلية</t>
        </is>
      </c>
      <c r="E16" s="7" t="inlineStr">
        <is>
          <t>اعتماد الخدمات على المرافق وعدم اكتمال تمارين التعافي</t>
        </is>
      </c>
      <c r="F16" s="7" t="inlineStr">
        <is>
          <t>توفر واستمرارية</t>
        </is>
      </c>
      <c r="G16" s="7" t="inlineStr">
        <is>
          <t>UPS ومولدات وأنظمة إطفاء وموقع تعافٍ في جدة</t>
        </is>
      </c>
      <c r="H16" s="12" t="n">
        <v>2</v>
      </c>
      <c r="I16" s="12" t="n">
        <v>5</v>
      </c>
      <c r="J16" s="13">
        <f>H16*I16</f>
        <v/>
      </c>
      <c r="K16" s="10">
        <f>IF(J16&gt;11,"عالي",IF(J16&gt;4,"متوسط","منخفض"))</f>
        <v/>
      </c>
      <c r="L16" s="7" t="inlineStr">
        <is>
          <t>Modify</t>
        </is>
      </c>
      <c r="M16" s="7" t="inlineStr">
        <is>
          <t>اختبار BCP وDR نصف سنوي، تحقق من سعة المولدات والاتصالات وخطط الإخلاء والتشغيل اليدوي</t>
        </is>
      </c>
      <c r="N16" s="7" t="inlineStr">
        <is>
          <t>A.7.5 التهديدات المادية؛ A.7.11 مرافق داعمة؛ A.5.29 وA.5.30 الاستمرارية</t>
        </is>
      </c>
      <c r="O16" s="7" t="inlineStr">
        <is>
          <t>مدير استمرارية الأعمال</t>
        </is>
      </c>
      <c r="P16" s="7" t="n">
        <v>350000</v>
      </c>
      <c r="Q16" s="7" t="inlineStr">
        <is>
          <t>31-12-2026</t>
        </is>
      </c>
      <c r="R16" s="12" t="n">
        <v>1</v>
      </c>
      <c r="S16" s="12" t="n">
        <v>4</v>
      </c>
      <c r="T16" s="13">
        <f>R16*S16</f>
        <v/>
      </c>
      <c r="U16" s="11">
        <f>IF(T16&gt;11,"عالي",IF(T16&gt;4,"متوسط","منخفض"))</f>
        <v/>
      </c>
      <c r="V16" s="7" t="inlineStr">
        <is>
          <t>لم يبدأ</t>
        </is>
      </c>
      <c r="W16" s="7" t="inlineStr">
        <is>
          <t>يقبل وفق نتائج اختبار التعافي وRTO/RPO</t>
        </is>
      </c>
    </row>
  </sheetData>
  <mergeCells count="2">
    <mergeCell ref="A1:J1"/>
    <mergeCell ref="A2:J2"/>
  </mergeCells>
  <dataValidations count="6">
    <dataValidation sqref="H5:H16" showDropDown="0" showInputMessage="0" showErrorMessage="0" allowBlank="0" errorTitle="قيمة غير صحيحة" error="أدخل رقماً من 1 إلى 5" type="whole" operator="between">
      <formula1>1</formula1>
      <formula2>5</formula2>
    </dataValidation>
    <dataValidation sqref="I5:I16" showDropDown="0" showInputMessage="0" showErrorMessage="0" allowBlank="0" errorTitle="قيمة غير صحيحة" error="أدخل رقماً من 1 إلى 5" type="whole" operator="between">
      <formula1>1</formula1>
      <formula2>5</formula2>
    </dataValidation>
    <dataValidation sqref="R5:R16" showDropDown="0" showInputMessage="0" showErrorMessage="0" allowBlank="0" errorTitle="قيمة غير صحيحة" error="أدخل رقماً من 1 إلى 5" type="whole" operator="between">
      <formula1>1</formula1>
      <formula2>5</formula2>
    </dataValidation>
    <dataValidation sqref="S5:S16" showDropDown="0" showInputMessage="0" showErrorMessage="0" allowBlank="0" errorTitle="قيمة غير صحيحة" error="أدخل رقماً من 1 إلى 5" type="whole" operator="between">
      <formula1>1</formula1>
      <formula2>5</formula2>
    </dataValidation>
    <dataValidation sqref="L5:L16" showDropDown="0" showInputMessage="0" showErrorMessage="0" allowBlank="0" type="list">
      <formula1>"قبول,تجنب,تعديل,مشاركة"</formula1>
    </dataValidation>
    <dataValidation sqref="V5:V16" showDropDown="0" showInputMessage="0" showErrorMessage="0" allowBlank="0" type="list">
      <formula1>"لم يبدأ,قيد التنفيذ,مكتمل,مرفوض"</formula1>
    </dataValidation>
  </dataValidation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مصفوفة الاحتمال والأثر</t>
        </is>
      </c>
    </row>
    <row r="2" ht="32" customHeight="1">
      <c r="A2" s="2" t="inlineStr">
        <is>
          <t>الدرجة = الاحتمال × الأثر. تستخدم مستويات 1 إلى 5 قبل المعالجة وبعدها.</t>
        </is>
      </c>
    </row>
    <row r="4" ht="34" customHeight="1">
      <c r="A4" s="3" t="inlineStr">
        <is>
          <t>الأثر \ الاحتمال</t>
        </is>
      </c>
      <c r="B4" s="3" t="inlineStr">
        <is>
          <t>1 نادر جداً</t>
        </is>
      </c>
      <c r="C4" s="3" t="inlineStr">
        <is>
          <t>2 غير مرجح</t>
        </is>
      </c>
      <c r="D4" s="3" t="inlineStr">
        <is>
          <t>3 محتمل</t>
        </is>
      </c>
      <c r="E4" s="3" t="inlineStr">
        <is>
          <t>4 مرجح جداً</t>
        </is>
      </c>
      <c r="F4" s="3" t="inlineStr">
        <is>
          <t>5 شبه مؤكد</t>
        </is>
      </c>
    </row>
    <row r="5">
      <c r="A5" s="14" t="inlineStr">
        <is>
          <t>1 — ضئيل</t>
        </is>
      </c>
      <c r="B5" s="15" t="n">
        <v>1</v>
      </c>
      <c r="C5" s="15" t="n">
        <v>2</v>
      </c>
      <c r="D5" s="15" t="n">
        <v>3</v>
      </c>
      <c r="E5" s="15" t="n">
        <v>4</v>
      </c>
      <c r="F5" s="16" t="n">
        <v>5</v>
      </c>
    </row>
    <row r="6">
      <c r="A6" s="14" t="inlineStr">
        <is>
          <t>2 — محدود</t>
        </is>
      </c>
      <c r="B6" s="15" t="n">
        <v>2</v>
      </c>
      <c r="C6" s="15" t="n">
        <v>4</v>
      </c>
      <c r="D6" s="16" t="n">
        <v>6</v>
      </c>
      <c r="E6" s="16" t="n">
        <v>8</v>
      </c>
      <c r="F6" s="16" t="n">
        <v>10</v>
      </c>
    </row>
    <row r="7">
      <c r="A7" s="14" t="inlineStr">
        <is>
          <t>3 — متوسط</t>
        </is>
      </c>
      <c r="B7" s="15" t="n">
        <v>3</v>
      </c>
      <c r="C7" s="16" t="n">
        <v>6</v>
      </c>
      <c r="D7" s="16" t="n">
        <v>9</v>
      </c>
      <c r="E7" s="17" t="n">
        <v>12</v>
      </c>
      <c r="F7" s="17" t="n">
        <v>15</v>
      </c>
    </row>
    <row r="8">
      <c r="A8" s="14" t="inlineStr">
        <is>
          <t>4 — عالٍ</t>
        </is>
      </c>
      <c r="B8" s="15" t="n">
        <v>4</v>
      </c>
      <c r="C8" s="16" t="n">
        <v>8</v>
      </c>
      <c r="D8" s="17" t="n">
        <v>12</v>
      </c>
      <c r="E8" s="17" t="n">
        <v>16</v>
      </c>
      <c r="F8" s="17" t="n">
        <v>20</v>
      </c>
    </row>
    <row r="9">
      <c r="A9" s="14" t="inlineStr">
        <is>
          <t>5 — شديد جداً</t>
        </is>
      </c>
      <c r="B9" s="16" t="n">
        <v>5</v>
      </c>
      <c r="C9" s="16" t="n">
        <v>10</v>
      </c>
      <c r="D9" s="17" t="n">
        <v>15</v>
      </c>
      <c r="E9" s="17" t="n">
        <v>20</v>
      </c>
      <c r="F9" s="17" t="n">
        <v>25</v>
      </c>
    </row>
    <row r="12">
      <c r="A12" s="18" t="inlineStr">
        <is>
          <t>التفسير: 1–4 منخفض، 5–11 متوسط، 12–25 عالٍ. لا يعتمد قبول الخطر على الدرجة فقط؛ بل يراعى أثره التنظيمي والمالي وسمعة البنك واستمرارية الخدمة.</t>
        </is>
      </c>
    </row>
    <row r="13"/>
  </sheetData>
  <mergeCells count="3">
    <mergeCell ref="A12:F13"/>
    <mergeCell ref="A1:J1"/>
    <mergeCell ref="A2:J2"/>
  </mergeCells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2" customWidth="1" min="3" max="3"/>
    <col width="24" customWidth="1" min="4" max="4"/>
    <col width="16" customWidth="1" min="5" max="5"/>
    <col width="38" customWidth="1" min="6" max="6"/>
    <col width="16" customWidth="1" min="7" max="7"/>
    <col width="30" customWidth="1" min="8" max="8"/>
  </cols>
  <sheetData>
    <row r="1" ht="28" customHeight="1">
      <c r="A1" s="1" t="inlineStr">
        <is>
          <t>خطة معالجة المخاطر ومتابعة الإجراءات</t>
        </is>
      </c>
    </row>
    <row r="2" ht="32" customHeight="1">
      <c r="A2" s="2" t="inlineStr">
        <is>
          <t>تستخرج من سجل المخاطر وتستخدم للمتابعة الإدارية والإغلاق بالأدلة.</t>
        </is>
      </c>
    </row>
    <row r="4" ht="34" customHeight="1">
      <c r="A4" s="3" t="inlineStr">
        <is>
          <t>معرّف الخطر</t>
        </is>
      </c>
      <c r="B4" s="3" t="inlineStr">
        <is>
          <t>الخطر ذو الأولوية</t>
        </is>
      </c>
      <c r="C4" s="3" t="inlineStr">
        <is>
          <t>الإجراء المعتمد</t>
        </is>
      </c>
      <c r="D4" s="3" t="inlineStr">
        <is>
          <t>مالك الإجراء</t>
        </is>
      </c>
      <c r="E4" s="3" t="inlineStr">
        <is>
          <t>الموعد</t>
        </is>
      </c>
      <c r="F4" s="3" t="inlineStr">
        <is>
          <t>المؤشر/دليل الإغلاق</t>
        </is>
      </c>
      <c r="G4" s="3" t="inlineStr">
        <is>
          <t>الحالة</t>
        </is>
      </c>
      <c r="H4" s="3" t="inlineStr">
        <is>
          <t>اعتماد الخطر المتبقي</t>
        </is>
      </c>
    </row>
    <row r="5">
      <c r="A5" s="4" t="inlineStr">
        <is>
          <t>R-001</t>
        </is>
      </c>
      <c r="B5" s="4" t="inlineStr">
        <is>
          <t>الخدمات المصرفية الرقمية: تطبيق آفاق بلس — استغلال ثغرة حقن SQL أو مهاجم خارجي</t>
        </is>
      </c>
      <c r="C5" s="4" t="inlineStr">
        <is>
          <t>اختبار اختراق عاجل، إصلاح التحقق من المدخلات، مراجعة الكود ومنع الإطلاق حتى الإغلاق</t>
        </is>
      </c>
      <c r="D5" s="4" t="inlineStr">
        <is>
          <t>A.8.25 التطوير الآمن؛ A.8.28 البرمجة الآمنة؛ A.8.8 إدارة الثغرات</t>
        </is>
      </c>
      <c r="E5" s="4" t="inlineStr">
        <is>
          <t>مدير تطوير البرمجيات</t>
        </is>
      </c>
      <c r="F5" s="4" t="n">
        <v>250000</v>
      </c>
      <c r="G5" s="4" t="inlineStr">
        <is>
          <t>قيد التنفيذ</t>
        </is>
      </c>
      <c r="H5" s="4" t="inlineStr">
        <is>
          <t>يقبل مؤقتاً من مدير أمن المعلومات فقط حتى الإغلاق</t>
        </is>
      </c>
    </row>
    <row r="6">
      <c r="A6" s="7" t="inlineStr">
        <is>
          <t>R-002</t>
        </is>
      </c>
      <c r="B6" s="7" t="inlineStr">
        <is>
          <t>جدار الحماية والخدمات الرقمية — خطأ بشري يؤدي إلى انقطاع الخدمات</t>
        </is>
      </c>
      <c r="C6" s="7" t="inlineStr">
        <is>
          <t>اعتماد تغيير ثنائي، اختبار مسبق، نسخة إعداد تلقائية وخطة تراجع ومراقبة تنبيهية</t>
        </is>
      </c>
      <c r="D6" s="7" t="inlineStr">
        <is>
          <t>A.8.9 إدارة الإعدادات؛ A.8.32 إدارة التغيير؛ A.8.16 أنشطة المراقبة</t>
        </is>
      </c>
      <c r="E6" s="7" t="inlineStr">
        <is>
          <t>مدير الشبكات</t>
        </is>
      </c>
      <c r="F6" s="7" t="n">
        <v>120000</v>
      </c>
      <c r="G6" s="7" t="inlineStr">
        <is>
          <t>لم يبدأ</t>
        </is>
      </c>
      <c r="H6" s="7" t="inlineStr">
        <is>
          <t>لا يقبل الخطر المتبقي إذا تجاوز الانقطاع المستهدف</t>
        </is>
      </c>
    </row>
    <row r="7">
      <c r="A7" s="4" t="inlineStr">
        <is>
          <t>R-003</t>
        </is>
      </c>
      <c r="B7" s="4" t="inlineStr">
        <is>
          <t>البريد الإلكتروني وموظفو المالية — تصيد احتيالي وانتحال هوية المدير المالي</t>
        </is>
      </c>
      <c r="C7" s="4" t="inlineStr">
        <is>
          <t>تدريب موجه للمالية، محاكاة شهرية، تحقق هاتفي للتحويلات عالية المخاطر وقواعد كشف إضافية</t>
        </is>
      </c>
      <c r="D7" s="4" t="inlineStr">
        <is>
          <t>A.6.3 الوعي والتدريب؛ A.8.7 الحماية من البرمجيات الخبيثة؛ A.8.16 المراقبة</t>
        </is>
      </c>
      <c r="E7" s="4" t="inlineStr">
        <is>
          <t>مدير أمن المعلومات ومدير المالية</t>
        </is>
      </c>
      <c r="F7" s="4" t="n">
        <v>80000</v>
      </c>
      <c r="G7" s="4" t="inlineStr">
        <is>
          <t>قيد التنفيذ</t>
        </is>
      </c>
      <c r="H7" s="4" t="inlineStr">
        <is>
          <t>يقبل بعد تحقق انخفاض النقر والإبلاغ</t>
        </is>
      </c>
    </row>
    <row r="8">
      <c r="A8" s="7" t="inlineStr">
        <is>
          <t>R-004</t>
        </is>
      </c>
      <c r="B8" s="7" t="inlineStr">
        <is>
          <t>أجهزة الحواسيب المحمولة وقواعد بيانات العملاء — فقدان أو سرقة جهاز متنقل</t>
        </is>
      </c>
      <c r="C8" s="7" t="inlineStr">
        <is>
          <t>تشفير كامل للأقراص، إدارة أجهزة متنقلة، مسح عن بعد، إبلاغ خلال ساعة وتدريب السفر</t>
        </is>
      </c>
      <c r="D8" s="7" t="inlineStr">
        <is>
          <t>A.8.1 أجهزة المستخدم؛ A.8.24 استخدام التشفير؛ A.6.3 الوعي</t>
        </is>
      </c>
      <c r="E8" s="7" t="inlineStr">
        <is>
          <t>مدير البنية التحتية</t>
        </is>
      </c>
      <c r="F8" s="7" t="n">
        <v>450000</v>
      </c>
      <c r="G8" s="7" t="inlineStr">
        <is>
          <t>قيد التنفيذ</t>
        </is>
      </c>
      <c r="H8" s="7" t="inlineStr">
        <is>
          <t>المتبقي مرتبط بأجهزة غير متوافقة ويعالج بخطة استبدال</t>
        </is>
      </c>
    </row>
    <row r="9">
      <c r="A9" s="4" t="inlineStr">
        <is>
          <t>R-005</t>
        </is>
      </c>
      <c r="B9" s="4" t="inlineStr">
        <is>
          <t>الشهادات الرقمية للموقع وبوابة الإنترنت — انتهاء شهادة SSL/TLS</t>
        </is>
      </c>
      <c r="C9" s="4" t="inlineStr">
        <is>
          <t>جرد مركزي للشهادات، تنبيهات قبل 90/60/30 يوماً وتجديد آلي مع اختبار</t>
        </is>
      </c>
      <c r="D9" s="4" t="inlineStr">
        <is>
          <t>A.8.9 إدارة الإعدادات؛ A.8.16 المراقبة؛ A.8.20 أمن الشبكات</t>
        </is>
      </c>
      <c r="E9" s="4" t="inlineStr">
        <is>
          <t>مدير الشبكات</t>
        </is>
      </c>
      <c r="F9" s="4" t="n">
        <v>60000</v>
      </c>
      <c r="G9" s="4" t="inlineStr">
        <is>
          <t>لم يبدأ</t>
        </is>
      </c>
      <c r="H9" s="4" t="inlineStr">
        <is>
          <t>يقبل بعد تشغيل التنبيهات واختبارها</t>
        </is>
      </c>
    </row>
    <row r="10">
      <c r="A10" s="7" t="inlineStr">
        <is>
          <t>R-006</t>
        </is>
      </c>
      <c r="B10" s="7" t="inlineStr">
        <is>
          <t>مجلدات الموارد البشرية والرواتب — وصول داخلي غير مصرح أو إساءة استخدام</t>
        </is>
      </c>
      <c r="C10" s="7" t="inlineStr">
        <is>
          <t>مراجعة ربع سنوية للصلاحيات، إزالة الموروث، فصل أدوار تقنية المعلومات وتسجيل الوصول</t>
        </is>
      </c>
      <c r="D10" s="7" t="inlineStr">
        <is>
          <t>A.5.15 التحكم في الوصول؛ A.5.18 حقوق الوصول؛ A.8.3 تقييد الوصول</t>
        </is>
      </c>
      <c r="E10" s="7" t="inlineStr">
        <is>
          <t>مدير تقنية المعلومات ومدير الموارد البشرية</t>
        </is>
      </c>
      <c r="F10" s="7" t="n">
        <v>70000</v>
      </c>
      <c r="G10" s="7" t="inlineStr">
        <is>
          <t>قيد التنفيذ</t>
        </is>
      </c>
      <c r="H10" s="7" t="inlineStr">
        <is>
          <t>لا يقبل إلا بعد إثبات المراجعة والإزالة</t>
        </is>
      </c>
    </row>
    <row r="11">
      <c r="A11" s="4" t="inlineStr">
        <is>
          <t>R-007</t>
        </is>
      </c>
      <c r="B11" s="4" t="inlineStr">
        <is>
          <t>الخوادم ومخازن البيانات في مركز البيانات — فدية أو برمجية خبيثة</t>
        </is>
      </c>
      <c r="C11" s="4" t="inlineStr">
        <is>
          <t>نسخ غير متصلة، اختبار استعادة ربع سنوي، تقسيم الشبكة، معالجة الثغرات ومراقبة SIEM تدريجية</t>
        </is>
      </c>
      <c r="D11" s="4" t="inlineStr">
        <is>
          <t>A.8.7 مكافحة البرمجيات الخبيثة؛ A.8.13 النسخ الاحتياطي؛ A.8.8 الثغرات</t>
        </is>
      </c>
      <c r="E11" s="4" t="inlineStr">
        <is>
          <t>مدير تقنية المعلومات</t>
        </is>
      </c>
      <c r="F11" s="4" t="n">
        <v>500000</v>
      </c>
      <c r="G11" s="4" t="inlineStr">
        <is>
          <t>قيد التنفيذ</t>
        </is>
      </c>
      <c r="H11" s="4" t="inlineStr">
        <is>
          <t>الخطر المتبقي يعتمد على نتائج اختبار الاستعادة</t>
        </is>
      </c>
    </row>
    <row r="12">
      <c r="A12" s="7" t="inlineStr">
        <is>
          <t>R-008</t>
        </is>
      </c>
      <c r="B12" s="7" t="inlineStr">
        <is>
          <t>الربط بين الفروع ومركز البيانات — حجب خدمة أو انقطاع اتصال</t>
        </is>
      </c>
      <c r="C12" s="7" t="inlineStr">
        <is>
          <t>اختبار التحويل للرابط البديل، مراقبة توافر، اتفاقيات مستوى خدمة وخطة اتصال طوارئ</t>
        </is>
      </c>
      <c r="D12" s="7" t="inlineStr">
        <is>
          <t>A.8.14 التكرار؛ A.8.20 أمن الشبكات؛ A.5.30 جاهزية تقنية لاستمرارية الأعمال</t>
        </is>
      </c>
      <c r="E12" s="7" t="inlineStr">
        <is>
          <t>مدير الشبكات</t>
        </is>
      </c>
      <c r="F12" s="7" t="n">
        <v>180000</v>
      </c>
      <c r="G12" s="7" t="inlineStr">
        <is>
          <t>لم يبدأ</t>
        </is>
      </c>
      <c r="H12" s="7" t="inlineStr">
        <is>
          <t>يقبل ضمن حدود RTO المعتمد</t>
        </is>
      </c>
    </row>
    <row r="13">
      <c r="A13" s="4" t="inlineStr">
        <is>
          <t>R-009</t>
        </is>
      </c>
      <c r="B13" s="4" t="inlineStr">
        <is>
          <t>تطبيق آفاق بلس وبيئات التطوير — تسريب أو تعديل الشيفرة أو إدخال مكوّن ضعيف</t>
        </is>
      </c>
      <c r="C13" s="4" t="inlineStr">
        <is>
          <t>تحديث العقد، وصول مؤقت، فحص مكونات البرمجيات، بيانات اختبار منزوعة الهوية ومراجعة كود</t>
        </is>
      </c>
      <c r="D13" s="4" t="inlineStr">
        <is>
          <t>A.5.19 أمن علاقات الموردين؛ A.8.25 التطوير الآمن؛ A.8.33 بيانات الاختبار</t>
        </is>
      </c>
      <c r="E13" s="4" t="inlineStr">
        <is>
          <t>مدير تطوير البرمجيات</t>
        </is>
      </c>
      <c r="F13" s="4" t="n">
        <v>150000</v>
      </c>
      <c r="G13" s="4" t="inlineStr">
        <is>
          <t>قيد التنفيذ</t>
        </is>
      </c>
      <c r="H13" s="4" t="inlineStr">
        <is>
          <t>يقبل بعد تقرير فحص مستقل</t>
        </is>
      </c>
    </row>
    <row r="14">
      <c r="A14" s="7" t="inlineStr">
        <is>
          <t>R-010</t>
        </is>
      </c>
      <c r="B14" s="7" t="inlineStr">
        <is>
          <t>الخدمات السحابية AWS للأنظمة غير الحرجة — فقدان توافر أو كشف بيانات بسبب مورد سحابي</t>
        </is>
      </c>
      <c r="C14" s="7" t="inlineStr">
        <is>
          <t>تقييم مورد سنوي، اتفاقية أمن، تشفير، سجلات وصول، اختبار خروج واستعادة</t>
        </is>
      </c>
      <c r="D14" s="7" t="inlineStr">
        <is>
          <t>A.5.19 وA.5.23 أمن الموردين والخدمات السحابية؛ A.8.24 التشفير</t>
        </is>
      </c>
      <c r="E14" s="7" t="inlineStr">
        <is>
          <t>مدير المشتريات ومدير أمن المعلومات</t>
        </is>
      </c>
      <c r="F14" s="7" t="n">
        <v>100000</v>
      </c>
      <c r="G14" s="7" t="inlineStr">
        <is>
          <t>لم يبدأ</t>
        </is>
      </c>
      <c r="H14" s="7" t="inlineStr">
        <is>
          <t>يقبل بشرط اكتمال التقييم والعقد</t>
        </is>
      </c>
    </row>
    <row r="15">
      <c r="A15" s="4" t="inlineStr">
        <is>
          <t>R-011</t>
        </is>
      </c>
      <c r="B15" s="4" t="inlineStr">
        <is>
          <t>المعاملات والتحويلات الدولية — تحويل احتيالي أو غسل أموال عبر حساب عالي المخاطر</t>
        </is>
      </c>
      <c r="C15" s="4" t="inlineStr">
        <is>
          <t>مراجعة فورية للحالات عالية المخاطر، تحقق ثنائي، تحديث قواعد الدول والحسابات والتدريب</t>
        </is>
      </c>
      <c r="D15" s="4" t="inlineStr">
        <is>
          <t>A.5.3 فصل الواجبات؛ A.8.15 التسجيل؛ A.8.16 المراقبة</t>
        </is>
      </c>
      <c r="E15" s="4" t="inlineStr">
        <is>
          <t>مدير العمليات الدولية ومدير الاحتيال</t>
        </is>
      </c>
      <c r="F15" s="4" t="n">
        <v>220000</v>
      </c>
      <c r="G15" s="4" t="inlineStr">
        <is>
          <t>قيد التنفيذ</t>
        </is>
      </c>
      <c r="H15" s="4" t="inlineStr">
        <is>
          <t>اعتماد المخاطر المتبقية من لجنة المخاطر</t>
        </is>
      </c>
    </row>
    <row r="16">
      <c r="A16" s="7" t="inlineStr">
        <is>
          <t>R-012</t>
        </is>
      </c>
      <c r="B16" s="7" t="inlineStr">
        <is>
          <t>مركز البيانات ومركز التعافي والفروع — حريق أو انقطاع طاقة أو كارثة محلية</t>
        </is>
      </c>
      <c r="C16" s="7" t="inlineStr">
        <is>
          <t>اختبار BCP وDR نصف سنوي، تحقق من سعة المولدات والاتصالات وخطط الإخلاء والتشغيل اليدوي</t>
        </is>
      </c>
      <c r="D16" s="7" t="inlineStr">
        <is>
          <t>A.7.5 التهديدات المادية؛ A.7.11 مرافق داعمة؛ A.5.29 وA.5.30 الاستمرارية</t>
        </is>
      </c>
      <c r="E16" s="7" t="inlineStr">
        <is>
          <t>مدير استمرارية الأعمال</t>
        </is>
      </c>
      <c r="F16" s="7" t="n">
        <v>350000</v>
      </c>
      <c r="G16" s="7" t="inlineStr">
        <is>
          <t>لم يبدأ</t>
        </is>
      </c>
      <c r="H16" s="7" t="inlineStr">
        <is>
          <t>يقبل وفق نتائج اختبار التعافي وRTO/RPO</t>
        </is>
      </c>
    </row>
  </sheetData>
  <mergeCells count="2">
    <mergeCell ref="A1:J1"/>
    <mergeCell ref="A2:J2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5" customWidth="1" min="3" max="3"/>
    <col width="22" customWidth="1" min="4" max="4"/>
    <col width="30" customWidth="1" min="5" max="5"/>
  </cols>
  <sheetData>
    <row r="1" ht="28" customHeight="1">
      <c r="A1" s="1" t="inlineStr">
        <is>
          <t>الضوابط المرجعية المرتبطة بالمخاطر</t>
        </is>
      </c>
    </row>
    <row r="2" ht="32" customHeight="1">
      <c r="A2" s="2" t="inlineStr">
        <is>
          <t>قائمة مختصرة بالضوابط التي ستغذي بيان القابلية للتطبيق في الوثيقة الرابعة.</t>
        </is>
      </c>
    </row>
    <row r="4" ht="34" customHeight="1">
      <c r="A4" s="3" t="inlineStr">
        <is>
          <t>المرجع</t>
        </is>
      </c>
      <c r="B4" s="3" t="inlineStr">
        <is>
          <t>اسم الضابط بالعربية</t>
        </is>
      </c>
      <c r="C4" s="3" t="inlineStr">
        <is>
          <t>المخاطر المرتبطة</t>
        </is>
      </c>
      <c r="D4" s="3" t="inlineStr">
        <is>
          <t>حالة التطبيق الأولية</t>
        </is>
      </c>
      <c r="E4" s="3" t="inlineStr">
        <is>
          <t>الوثيقة التابعة</t>
        </is>
      </c>
    </row>
    <row r="5">
      <c r="A5" s="4" t="inlineStr">
        <is>
          <t>A.5.15</t>
        </is>
      </c>
      <c r="B5" s="4" t="inlineStr">
        <is>
          <t>التحكم في الوصول</t>
        </is>
      </c>
      <c r="C5" s="4" t="inlineStr">
        <is>
          <t>R-006</t>
        </is>
      </c>
      <c r="D5" s="4" t="inlineStr">
        <is>
          <t>مطبق جزئياً</t>
        </is>
      </c>
      <c r="E5" s="4" t="inlineStr">
        <is>
          <t>سياسة التحكم في الوصول</t>
        </is>
      </c>
    </row>
    <row r="6">
      <c r="A6" s="7" t="inlineStr">
        <is>
          <t>A.5.18</t>
        </is>
      </c>
      <c r="B6" s="7" t="inlineStr">
        <is>
          <t>حقوق الوصول</t>
        </is>
      </c>
      <c r="C6" s="7" t="inlineStr">
        <is>
          <t>R-006</t>
        </is>
      </c>
      <c r="D6" s="7" t="inlineStr">
        <is>
          <t>مطبق جزئياً</t>
        </is>
      </c>
      <c r="E6" s="7" t="inlineStr">
        <is>
          <t>إجراء مراجعة الصلاحيات</t>
        </is>
      </c>
    </row>
    <row r="7">
      <c r="A7" s="4" t="inlineStr">
        <is>
          <t>A.5.19</t>
        </is>
      </c>
      <c r="B7" s="4" t="inlineStr">
        <is>
          <t>أمن علاقات الموردين</t>
        </is>
      </c>
      <c r="C7" s="4" t="inlineStr">
        <is>
          <t>R-009 وR-010</t>
        </is>
      </c>
      <c r="D7" s="4" t="inlineStr">
        <is>
          <t>يحتاج تحسيناً</t>
        </is>
      </c>
      <c r="E7" s="4" t="inlineStr">
        <is>
          <t>سياسة أمن الموردين</t>
        </is>
      </c>
    </row>
    <row r="8">
      <c r="A8" s="7" t="inlineStr">
        <is>
          <t>A.5.23</t>
        </is>
      </c>
      <c r="B8" s="7" t="inlineStr">
        <is>
          <t>أمن استخدام الخدمات السحابية</t>
        </is>
      </c>
      <c r="C8" s="7" t="inlineStr">
        <is>
          <t>R-010</t>
        </is>
      </c>
      <c r="D8" s="7" t="inlineStr">
        <is>
          <t>يحتاج تحسيناً</t>
        </is>
      </c>
      <c r="E8" s="7" t="inlineStr">
        <is>
          <t>سياسة الخدمات السحابية</t>
        </is>
      </c>
    </row>
    <row r="9">
      <c r="A9" s="4" t="inlineStr">
        <is>
          <t>A.5.29</t>
        </is>
      </c>
      <c r="B9" s="4" t="inlineStr">
        <is>
          <t>أمن المعلومات أثناء التعطل</t>
        </is>
      </c>
      <c r="C9" s="4" t="inlineStr">
        <is>
          <t>R-002 وR-012</t>
        </is>
      </c>
      <c r="D9" s="4" t="inlineStr">
        <is>
          <t>مطبق جزئياً</t>
        </is>
      </c>
      <c r="E9" s="4" t="inlineStr">
        <is>
          <t>خطة استمرارية الأعمال</t>
        </is>
      </c>
    </row>
    <row r="10">
      <c r="A10" s="7" t="inlineStr">
        <is>
          <t>A.5.30</t>
        </is>
      </c>
      <c r="B10" s="7" t="inlineStr">
        <is>
          <t>جاهزية تقنية لاستمرارية الأعمال</t>
        </is>
      </c>
      <c r="C10" s="7" t="inlineStr">
        <is>
          <t>R-002 وR-008 وR-012</t>
        </is>
      </c>
      <c r="D10" s="7" t="inlineStr">
        <is>
          <t>مطبق جزئياً</t>
        </is>
      </c>
      <c r="E10" s="7" t="inlineStr">
        <is>
          <t>خطة التعافي من الكوارث</t>
        </is>
      </c>
    </row>
    <row r="11">
      <c r="A11" s="4" t="inlineStr">
        <is>
          <t>A.6.3</t>
        </is>
      </c>
      <c r="B11" s="4" t="inlineStr">
        <is>
          <t>التوعية والتدريب</t>
        </is>
      </c>
      <c r="C11" s="4" t="inlineStr">
        <is>
          <t>R-003 وR-004</t>
        </is>
      </c>
      <c r="D11" s="4" t="inlineStr">
        <is>
          <t>يحتاج تحسيناً</t>
        </is>
      </c>
      <c r="E11" s="4" t="inlineStr">
        <is>
          <t>برنامج التوعية</t>
        </is>
      </c>
    </row>
    <row r="12">
      <c r="A12" s="7" t="inlineStr">
        <is>
          <t>A.7.5</t>
        </is>
      </c>
      <c r="B12" s="7" t="inlineStr">
        <is>
          <t>الحماية من التهديدات المادية</t>
        </is>
      </c>
      <c r="C12" s="7" t="inlineStr">
        <is>
          <t>R-012</t>
        </is>
      </c>
      <c r="D12" s="7" t="inlineStr">
        <is>
          <t>مطبق جزئياً</t>
        </is>
      </c>
      <c r="E12" s="7" t="inlineStr">
        <is>
          <t>سياسة الأمن المادي</t>
        </is>
      </c>
    </row>
    <row r="13">
      <c r="A13" s="4" t="inlineStr">
        <is>
          <t>A.8.8</t>
        </is>
      </c>
      <c r="B13" s="4" t="inlineStr">
        <is>
          <t>إدارة الثغرات التقنية</t>
        </is>
      </c>
      <c r="C13" s="4" t="inlineStr">
        <is>
          <t>R-001 وR-007</t>
        </is>
      </c>
      <c r="D13" s="4" t="inlineStr">
        <is>
          <t>يحتاج تحسيناً</t>
        </is>
      </c>
      <c r="E13" s="4" t="inlineStr">
        <is>
          <t>إجراء إدارة الثغرات</t>
        </is>
      </c>
    </row>
    <row r="14">
      <c r="A14" s="7" t="inlineStr">
        <is>
          <t>A.8.9</t>
        </is>
      </c>
      <c r="B14" s="7" t="inlineStr">
        <is>
          <t>إدارة الإعدادات</t>
        </is>
      </c>
      <c r="C14" s="7" t="inlineStr">
        <is>
          <t>R-002 وR-005</t>
        </is>
      </c>
      <c r="D14" s="7" t="inlineStr">
        <is>
          <t>يحتاج تحسيناً</t>
        </is>
      </c>
      <c r="E14" s="7" t="inlineStr">
        <is>
          <t>إجراء إدارة الإعدادات</t>
        </is>
      </c>
    </row>
    <row r="15">
      <c r="A15" s="4" t="inlineStr">
        <is>
          <t>A.8.13</t>
        </is>
      </c>
      <c r="B15" s="4" t="inlineStr">
        <is>
          <t>النسخ الاحتياطي</t>
        </is>
      </c>
      <c r="C15" s="4" t="inlineStr">
        <is>
          <t>R-007</t>
        </is>
      </c>
      <c r="D15" s="4" t="inlineStr">
        <is>
          <t>مطبق جزئياً</t>
        </is>
      </c>
      <c r="E15" s="4" t="inlineStr">
        <is>
          <t>سياسة النسخ الاحتياطي</t>
        </is>
      </c>
    </row>
    <row r="16">
      <c r="A16" s="7" t="inlineStr">
        <is>
          <t>A.8.14</t>
        </is>
      </c>
      <c r="B16" s="7" t="inlineStr">
        <is>
          <t>التكرار</t>
        </is>
      </c>
      <c r="C16" s="7" t="inlineStr">
        <is>
          <t>R-008 وR-012</t>
        </is>
      </c>
      <c r="D16" s="7" t="inlineStr">
        <is>
          <t>مطبق جزئياً</t>
        </is>
      </c>
      <c r="E16" s="7" t="inlineStr">
        <is>
          <t>إجراء إدارة التوافر</t>
        </is>
      </c>
    </row>
    <row r="17">
      <c r="A17" s="4" t="inlineStr">
        <is>
          <t>A.8.15</t>
        </is>
      </c>
      <c r="B17" s="4" t="inlineStr">
        <is>
          <t>التسجيل</t>
        </is>
      </c>
      <c r="C17" s="4" t="inlineStr">
        <is>
          <t>R-011</t>
        </is>
      </c>
      <c r="D17" s="4" t="inlineStr">
        <is>
          <t>يحتاج تحسيناً</t>
        </is>
      </c>
      <c r="E17" s="4" t="inlineStr">
        <is>
          <t>سياسة التسجيل والمراقبة</t>
        </is>
      </c>
    </row>
    <row r="18">
      <c r="A18" s="7" t="inlineStr">
        <is>
          <t>A.8.16</t>
        </is>
      </c>
      <c r="B18" s="7" t="inlineStr">
        <is>
          <t>أنشطة المراقبة</t>
        </is>
      </c>
      <c r="C18" s="7" t="inlineStr">
        <is>
          <t>R-002 وR-003 وR-005 وR-011</t>
        </is>
      </c>
      <c r="D18" s="7" t="inlineStr">
        <is>
          <t>يحتاج تحسيناً</t>
        </is>
      </c>
      <c r="E18" s="7" t="inlineStr">
        <is>
          <t>سياسة المراقبة</t>
        </is>
      </c>
    </row>
    <row r="19">
      <c r="A19" s="4" t="inlineStr">
        <is>
          <t>A.8.20</t>
        </is>
      </c>
      <c r="B19" s="4" t="inlineStr">
        <is>
          <t>أمن الشبكات</t>
        </is>
      </c>
      <c r="C19" s="4" t="inlineStr">
        <is>
          <t>R-002 وR-008</t>
        </is>
      </c>
      <c r="D19" s="4" t="inlineStr">
        <is>
          <t>مطبق جزئياً</t>
        </is>
      </c>
      <c r="E19" s="4" t="inlineStr">
        <is>
          <t>سياسة أمن الشبكات</t>
        </is>
      </c>
    </row>
    <row r="20">
      <c r="A20" s="7" t="inlineStr">
        <is>
          <t>A.8.24</t>
        </is>
      </c>
      <c r="B20" s="7" t="inlineStr">
        <is>
          <t>استخدام التشفير</t>
        </is>
      </c>
      <c r="C20" s="7" t="inlineStr">
        <is>
          <t>R-004 وR-010</t>
        </is>
      </c>
      <c r="D20" s="7" t="inlineStr">
        <is>
          <t>يحتاج تحسيناً</t>
        </is>
      </c>
      <c r="E20" s="7" t="inlineStr">
        <is>
          <t>سياسة التشفير</t>
        </is>
      </c>
    </row>
    <row r="21">
      <c r="A21" s="4" t="inlineStr">
        <is>
          <t>A.8.25</t>
        </is>
      </c>
      <c r="B21" s="4" t="inlineStr">
        <is>
          <t>دورة حياة التطوير الآمن</t>
        </is>
      </c>
      <c r="C21" s="4" t="inlineStr">
        <is>
          <t>R-001 وR-009</t>
        </is>
      </c>
      <c r="D21" s="4" t="inlineStr">
        <is>
          <t>يحتاج تحسيناً</t>
        </is>
      </c>
      <c r="E21" s="4" t="inlineStr">
        <is>
          <t>سياسة التطوير الآمن</t>
        </is>
      </c>
    </row>
    <row r="22">
      <c r="A22" s="7" t="inlineStr">
        <is>
          <t>A.8.28</t>
        </is>
      </c>
      <c r="B22" s="7" t="inlineStr">
        <is>
          <t>البرمجة الآمنة</t>
        </is>
      </c>
      <c r="C22" s="7" t="inlineStr">
        <is>
          <t>R-001 وR-009</t>
        </is>
      </c>
      <c r="D22" s="7" t="inlineStr">
        <is>
          <t>يحتاج تحسيناً</t>
        </is>
      </c>
      <c r="E22" s="7" t="inlineStr">
        <is>
          <t>سياسة البرمجة الآمنة</t>
        </is>
      </c>
    </row>
    <row r="23">
      <c r="A23" s="4" t="inlineStr">
        <is>
          <t>A.8.32</t>
        </is>
      </c>
      <c r="B23" s="4" t="inlineStr">
        <is>
          <t>إدارة التغيير</t>
        </is>
      </c>
      <c r="C23" s="4" t="inlineStr">
        <is>
          <t>R-002</t>
        </is>
      </c>
      <c r="D23" s="4" t="inlineStr">
        <is>
          <t>يحتاج تحسيناً</t>
        </is>
      </c>
      <c r="E23" s="4" t="inlineStr">
        <is>
          <t>إجراء إدارة التغيير</t>
        </is>
      </c>
    </row>
    <row r="24">
      <c r="A24" s="7" t="inlineStr">
        <is>
          <t>A.8.33</t>
        </is>
      </c>
      <c r="B24" s="7" t="inlineStr">
        <is>
          <t>معلومات الاختبار</t>
        </is>
      </c>
      <c r="C24" s="7" t="inlineStr">
        <is>
          <t>R-009</t>
        </is>
      </c>
      <c r="D24" s="7" t="inlineStr">
        <is>
          <t>يحتاج تحسيناً</t>
        </is>
      </c>
      <c r="E24" s="7" t="inlineStr">
        <is>
          <t>إجراء إدارة بيئات الاختبار</t>
        </is>
      </c>
    </row>
  </sheetData>
  <mergeCells count="2">
    <mergeCell ref="A1:J1"/>
    <mergeCell ref="A2:J2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فريق العمل: عمار سعيد، عبد الرحمن السلفي، علي الأشول، غسان عباد</dc:creator>
  <dc:title xmlns:dc="http://purl.org/dc/elements/1.1/">تقييم ومعالجة مخاطر أمن المعلومات — بنك الآفاق الرقمية</dc:title>
  <dc:subject xmlns:dc="http://purl.org/dc/elements/1.1/">ISO/IEC 27001:2022 Clause 6.1.2</dc:subject>
  <dcterms:created xmlns:dcterms="http://purl.org/dc/terms/" xmlns:xsi="http://www.w3.org/2001/XMLSchema-instance" xsi:type="dcterms:W3CDTF">2026-09-08T19:20:40Z</dcterms:created>
  <dcterms:modified xmlns:dcterms="http://purl.org/dc/terms/" xmlns:xsi="http://www.w3.org/2001/XMLSchema-instance" xsi:type="dcterms:W3CDTF">2026-09-08T19:20:40Z</dcterms:modified>
  <cp:keywords>ISO 27001, ISMS, Risk Assessment, بنك الآفاق الرقمية</cp:keywords>
</cp:coreProperties>
</file>